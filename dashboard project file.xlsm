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1faec5af66d93dc6/Documents/"/>
    </mc:Choice>
  </mc:AlternateContent>
  <xr:revisionPtr revIDLastSave="84" documentId="8_{AFF45CCD-0B25-4E28-AEEC-5B1552E2F148}" xr6:coauthVersionLast="47" xr6:coauthVersionMax="47" xr10:uidLastSave="{9C523382-5A7F-4676-8464-3CA5D75F752A}"/>
  <bookViews>
    <workbookView minimized="1" xWindow="1560" yWindow="1560" windowWidth="15375" windowHeight="7785" xr2:uid="{64B68B0F-3C70-4C54-989F-FB081625691E}"/>
  </bookViews>
  <sheets>
    <sheet name="DASHBOARD" sheetId="2" r:id="rId1"/>
    <sheet name="RO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2" i="1"/>
  <c r="I91" i="1" l="1"/>
  <c r="K91" i="1" s="1"/>
  <c r="L91" i="1" s="1"/>
  <c r="I79" i="1"/>
  <c r="K79" i="1" s="1"/>
  <c r="L79" i="1" s="1"/>
  <c r="I67" i="1"/>
  <c r="K67" i="1" s="1"/>
  <c r="L67" i="1" s="1"/>
  <c r="I55" i="1"/>
  <c r="K55" i="1" s="1"/>
  <c r="L55" i="1" s="1"/>
  <c r="I43" i="1"/>
  <c r="K43" i="1" s="1"/>
  <c r="L43" i="1" s="1"/>
  <c r="I31" i="1"/>
  <c r="K31" i="1" s="1"/>
  <c r="L31" i="1" s="1"/>
  <c r="I19" i="1"/>
  <c r="K19" i="1" s="1"/>
  <c r="L19" i="1" s="1"/>
  <c r="I7" i="1"/>
  <c r="K7" i="1" s="1"/>
  <c r="L7" i="1" s="1"/>
  <c r="I95" i="1"/>
  <c r="K95" i="1" s="1"/>
  <c r="L95" i="1" s="1"/>
  <c r="I83" i="1"/>
  <c r="K83" i="1" s="1"/>
  <c r="L83" i="1" s="1"/>
  <c r="I71" i="1"/>
  <c r="K71" i="1" s="1"/>
  <c r="L71" i="1" s="1"/>
  <c r="I59" i="1"/>
  <c r="K59" i="1" s="1"/>
  <c r="L59" i="1" s="1"/>
  <c r="I47" i="1"/>
  <c r="K47" i="1" s="1"/>
  <c r="L47" i="1" s="1"/>
  <c r="I35" i="1"/>
  <c r="K35" i="1" s="1"/>
  <c r="L35" i="1" s="1"/>
  <c r="I23" i="1"/>
  <c r="K23" i="1" s="1"/>
  <c r="L23" i="1" s="1"/>
  <c r="I11" i="1"/>
  <c r="K11" i="1" s="1"/>
  <c r="L11" i="1" s="1"/>
  <c r="I97" i="1"/>
  <c r="K97" i="1" s="1"/>
  <c r="L97" i="1" s="1"/>
  <c r="I85" i="1"/>
  <c r="K85" i="1" s="1"/>
  <c r="L85" i="1" s="1"/>
  <c r="I73" i="1"/>
  <c r="K73" i="1" s="1"/>
  <c r="L73" i="1" s="1"/>
  <c r="I49" i="1"/>
  <c r="K49" i="1" s="1"/>
  <c r="L49" i="1" s="1"/>
  <c r="I37" i="1"/>
  <c r="K37" i="1" s="1"/>
  <c r="L37" i="1" s="1"/>
  <c r="I25" i="1"/>
  <c r="K25" i="1" s="1"/>
  <c r="L25" i="1" s="1"/>
  <c r="I96" i="1"/>
  <c r="K96" i="1" s="1"/>
  <c r="L96" i="1" s="1"/>
  <c r="I84" i="1"/>
  <c r="K84" i="1" s="1"/>
  <c r="L84" i="1" s="1"/>
  <c r="I72" i="1"/>
  <c r="K72" i="1" s="1"/>
  <c r="L72" i="1" s="1"/>
  <c r="I48" i="1"/>
  <c r="K48" i="1" s="1"/>
  <c r="L48" i="1" s="1"/>
  <c r="I36" i="1"/>
  <c r="K36" i="1" s="1"/>
  <c r="L36" i="1" s="1"/>
  <c r="I24" i="1"/>
  <c r="K24" i="1" s="1"/>
  <c r="L24" i="1" s="1"/>
  <c r="I98" i="1"/>
  <c r="K98" i="1" s="1"/>
  <c r="L98" i="1" s="1"/>
  <c r="I86" i="1"/>
  <c r="K86" i="1" s="1"/>
  <c r="L86" i="1" s="1"/>
  <c r="I74" i="1"/>
  <c r="K74" i="1" s="1"/>
  <c r="L74" i="1" s="1"/>
  <c r="I50" i="1"/>
  <c r="K50" i="1" s="1"/>
  <c r="L50" i="1" s="1"/>
  <c r="I38" i="1"/>
  <c r="K38" i="1" s="1"/>
  <c r="L38" i="1" s="1"/>
  <c r="I26" i="1"/>
  <c r="K26" i="1" s="1"/>
  <c r="L26" i="1" s="1"/>
  <c r="I14" i="1"/>
  <c r="K14" i="1" s="1"/>
  <c r="L14" i="1" s="1"/>
  <c r="I61" i="1"/>
  <c r="K61" i="1" s="1"/>
  <c r="L61" i="1" s="1"/>
  <c r="I13" i="1"/>
  <c r="K13" i="1" s="1"/>
  <c r="L13" i="1" s="1"/>
  <c r="I62" i="1"/>
  <c r="K62" i="1" s="1"/>
  <c r="L62" i="1" s="1"/>
  <c r="I60" i="1"/>
  <c r="K60" i="1" s="1"/>
  <c r="L60" i="1" s="1"/>
  <c r="I12" i="1"/>
  <c r="K12" i="1" s="1"/>
  <c r="L12" i="1" s="1"/>
  <c r="I2" i="1"/>
  <c r="K2" i="1" s="1"/>
  <c r="L2" i="1" s="1"/>
  <c r="I90" i="1"/>
  <c r="K90" i="1" s="1"/>
  <c r="L90" i="1" s="1"/>
  <c r="I78" i="1"/>
  <c r="K78" i="1" s="1"/>
  <c r="L78" i="1" s="1"/>
  <c r="I66" i="1"/>
  <c r="K66" i="1" s="1"/>
  <c r="L66" i="1" s="1"/>
  <c r="I54" i="1"/>
  <c r="K54" i="1" s="1"/>
  <c r="L54" i="1" s="1"/>
  <c r="I42" i="1"/>
  <c r="K42" i="1" s="1"/>
  <c r="L42" i="1" s="1"/>
  <c r="I30" i="1"/>
  <c r="K30" i="1" s="1"/>
  <c r="L30" i="1" s="1"/>
  <c r="I18" i="1"/>
  <c r="K18" i="1" s="1"/>
  <c r="L18" i="1" s="1"/>
  <c r="I6" i="1"/>
  <c r="K6" i="1" s="1"/>
  <c r="L6" i="1" s="1"/>
  <c r="I94" i="1"/>
  <c r="K94" i="1" s="1"/>
  <c r="L94" i="1" s="1"/>
  <c r="I82" i="1"/>
  <c r="K82" i="1" s="1"/>
  <c r="L82" i="1" s="1"/>
  <c r="I70" i="1"/>
  <c r="K70" i="1" s="1"/>
  <c r="L70" i="1" s="1"/>
  <c r="I58" i="1"/>
  <c r="K58" i="1" s="1"/>
  <c r="L58" i="1" s="1"/>
  <c r="I46" i="1"/>
  <c r="K46" i="1" s="1"/>
  <c r="L46" i="1" s="1"/>
  <c r="I34" i="1"/>
  <c r="K34" i="1" s="1"/>
  <c r="L34" i="1" s="1"/>
  <c r="I22" i="1"/>
  <c r="K22" i="1" s="1"/>
  <c r="L22" i="1" s="1"/>
  <c r="I10" i="1"/>
  <c r="K10" i="1" s="1"/>
  <c r="L10" i="1" s="1"/>
  <c r="I101" i="1"/>
  <c r="K101" i="1" s="1"/>
  <c r="L101" i="1" s="1"/>
  <c r="I89" i="1"/>
  <c r="K89" i="1" s="1"/>
  <c r="L89" i="1" s="1"/>
  <c r="I77" i="1"/>
  <c r="K77" i="1" s="1"/>
  <c r="L77" i="1" s="1"/>
  <c r="I65" i="1"/>
  <c r="K65" i="1" s="1"/>
  <c r="L65" i="1" s="1"/>
  <c r="I53" i="1"/>
  <c r="K53" i="1" s="1"/>
  <c r="L53" i="1" s="1"/>
  <c r="I41" i="1"/>
  <c r="K41" i="1" s="1"/>
  <c r="L41" i="1" s="1"/>
  <c r="I29" i="1"/>
  <c r="K29" i="1" s="1"/>
  <c r="L29" i="1" s="1"/>
  <c r="I17" i="1"/>
  <c r="K17" i="1" s="1"/>
  <c r="L17" i="1" s="1"/>
  <c r="I5" i="1"/>
  <c r="K5" i="1" s="1"/>
  <c r="L5" i="1" s="1"/>
  <c r="I93" i="1"/>
  <c r="K93" i="1" s="1"/>
  <c r="L93" i="1" s="1"/>
  <c r="I81" i="1"/>
  <c r="K81" i="1" s="1"/>
  <c r="L81" i="1" s="1"/>
  <c r="I69" i="1"/>
  <c r="K69" i="1" s="1"/>
  <c r="L69" i="1" s="1"/>
  <c r="I57" i="1"/>
  <c r="K57" i="1" s="1"/>
  <c r="L57" i="1" s="1"/>
  <c r="I45" i="1"/>
  <c r="K45" i="1" s="1"/>
  <c r="L45" i="1" s="1"/>
  <c r="I33" i="1"/>
  <c r="K33" i="1" s="1"/>
  <c r="L33" i="1" s="1"/>
  <c r="I21" i="1"/>
  <c r="K21" i="1" s="1"/>
  <c r="L21" i="1" s="1"/>
  <c r="I9" i="1"/>
  <c r="K9" i="1" s="1"/>
  <c r="L9" i="1" s="1"/>
  <c r="I100" i="1"/>
  <c r="K100" i="1" s="1"/>
  <c r="L100" i="1" s="1"/>
  <c r="I88" i="1"/>
  <c r="K88" i="1" s="1"/>
  <c r="L88" i="1" s="1"/>
  <c r="I76" i="1"/>
  <c r="K76" i="1" s="1"/>
  <c r="L76" i="1" s="1"/>
  <c r="I64" i="1"/>
  <c r="K64" i="1" s="1"/>
  <c r="L64" i="1" s="1"/>
  <c r="I52" i="1"/>
  <c r="K52" i="1" s="1"/>
  <c r="L52" i="1" s="1"/>
  <c r="I40" i="1"/>
  <c r="K40" i="1" s="1"/>
  <c r="L40" i="1" s="1"/>
  <c r="I28" i="1"/>
  <c r="K28" i="1" s="1"/>
  <c r="L28" i="1" s="1"/>
  <c r="I16" i="1"/>
  <c r="K16" i="1" s="1"/>
  <c r="L16" i="1" s="1"/>
  <c r="I4" i="1"/>
  <c r="K4" i="1" s="1"/>
  <c r="L4" i="1" s="1"/>
  <c r="I92" i="1"/>
  <c r="K92" i="1" s="1"/>
  <c r="L92" i="1" s="1"/>
  <c r="I80" i="1"/>
  <c r="K80" i="1" s="1"/>
  <c r="L80" i="1" s="1"/>
  <c r="I68" i="1"/>
  <c r="K68" i="1" s="1"/>
  <c r="L68" i="1" s="1"/>
  <c r="I56" i="1"/>
  <c r="K56" i="1" s="1"/>
  <c r="L56" i="1" s="1"/>
  <c r="I44" i="1"/>
  <c r="K44" i="1" s="1"/>
  <c r="L44" i="1" s="1"/>
  <c r="I32" i="1"/>
  <c r="K32" i="1" s="1"/>
  <c r="L32" i="1" s="1"/>
  <c r="I20" i="1"/>
  <c r="K20" i="1" s="1"/>
  <c r="L20" i="1" s="1"/>
  <c r="I8" i="1"/>
  <c r="K8" i="1" s="1"/>
  <c r="L8" i="1" s="1"/>
  <c r="I99" i="1"/>
  <c r="K99" i="1" s="1"/>
  <c r="L99" i="1" s="1"/>
  <c r="I87" i="1"/>
  <c r="K87" i="1" s="1"/>
  <c r="L87" i="1" s="1"/>
  <c r="I75" i="1"/>
  <c r="K75" i="1" s="1"/>
  <c r="L75" i="1" s="1"/>
  <c r="I63" i="1"/>
  <c r="K63" i="1" s="1"/>
  <c r="L63" i="1" s="1"/>
  <c r="I51" i="1"/>
  <c r="K51" i="1" s="1"/>
  <c r="L51" i="1" s="1"/>
  <c r="I39" i="1"/>
  <c r="K39" i="1" s="1"/>
  <c r="L39" i="1" s="1"/>
  <c r="I27" i="1"/>
  <c r="K27" i="1" s="1"/>
  <c r="L27" i="1" s="1"/>
  <c r="I15" i="1"/>
  <c r="K15" i="1" s="1"/>
  <c r="L15" i="1" s="1"/>
  <c r="I3" i="1"/>
  <c r="K3" i="1" s="1"/>
  <c r="L3" i="1" s="1"/>
</calcChain>
</file>

<file path=xl/sharedStrings.xml><?xml version="1.0" encoding="utf-8"?>
<sst xmlns="http://schemas.openxmlformats.org/spreadsheetml/2006/main" count="340" uniqueCount="138">
  <si>
    <t>EMP CODE</t>
  </si>
  <si>
    <t>SALES EXECUTIVE</t>
  </si>
  <si>
    <t>REGION</t>
  </si>
  <si>
    <t>DAY1</t>
  </si>
  <si>
    <t>DAY2</t>
  </si>
  <si>
    <t>DAY3</t>
  </si>
  <si>
    <t>DAY4</t>
  </si>
  <si>
    <t>DAY5</t>
  </si>
  <si>
    <t>TOTAL SALES</t>
  </si>
  <si>
    <t>TARGET</t>
  </si>
  <si>
    <t>TARGET HIT%</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</si>
  <si>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</si>
  <si>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</si>
  <si>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</si>
  <si>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</si>
  <si>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</si>
  <si>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</si>
  <si>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</si>
  <si>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</si>
  <si>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</si>
  <si>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</si>
  <si>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</si>
  <si>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</si>
  <si>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</si>
  <si>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</si>
  <si>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</si>
  <si>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</si>
  <si>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</si>
  <si>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</si>
  <si>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</si>
  <si>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</si>
  <si>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</si>
  <si>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</si>
  <si>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</si>
  <si>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</si>
  <si>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</si>
  <si>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</si>
  <si>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</si>
  <si>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</si>
  <si>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</si>
  <si>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</si>
  <si>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</si>
  <si>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</si>
  <si>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</si>
  <si>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</si>
  <si>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</si>
  <si>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</si>
  <si>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</si>
  <si>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</si>
  <si>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</si>
  <si>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</si>
  <si>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</si>
  <si>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</si>
  <si>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</si>
  <si>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</si>
  <si>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</si>
  <si>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</si>
  <si>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</si>
  <si>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</si>
  <si>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</si>
  <si>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</si>
  <si>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</si>
  <si>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</si>
  <si>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</si>
  <si>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</si>
  <si>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</si>
  <si>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</si>
  <si>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</si>
  <si>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</si>
  <si>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</si>
  <si>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</si>
  <si>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</si>
  <si>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</si>
  <si>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</si>
  <si>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</si>
  <si>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</si>
  <si>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</si>
  <si>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</si>
  <si>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</si>
  <si>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</si>
  <si>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</si>
  <si>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</si>
  <si>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</si>
  <si>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</si>
  <si>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</si>
  <si>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</si>
  <si>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</si>
  <si>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</si>
  <si>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</si>
  <si>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</si>
  <si>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</si>
  <si>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</si>
  <si>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</si>
  <si>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</si>
  <si>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</si>
  <si>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</si>
  <si>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</si>
  <si>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</si>
  <si>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</si>
  <si>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</si>
  <si>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</si>
  <si>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</si>
  <si>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</si>
  <si>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</si>
  <si>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</si>
  <si>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</si>
  <si>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</si>
  <si>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</si>
  <si>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</si>
  <si>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</si>
  <si>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</si>
  <si>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RAJ VARMA</t>
  </si>
  <si>
    <t>SAMI HAJARE</t>
  </si>
  <si>
    <t>DEEP RAMDHAM</t>
  </si>
  <si>
    <t>PAYAL LAD</t>
  </si>
  <si>
    <t>TRUPTI KHARABE</t>
  </si>
  <si>
    <t>ADITYA DESHMUKH</t>
  </si>
  <si>
    <t>KOMAL AAKHARE</t>
  </si>
  <si>
    <t>PRAJAKTA KALE</t>
  </si>
  <si>
    <t>PRANAY KALE</t>
  </si>
  <si>
    <t>SANDIP SATPUTE</t>
  </si>
  <si>
    <t>ANUJ SHARMA</t>
  </si>
  <si>
    <t>ARVIND SHARMA</t>
  </si>
  <si>
    <t>MUMBAI</t>
  </si>
  <si>
    <t>NAGPUR</t>
  </si>
  <si>
    <t>CHENNAI</t>
  </si>
  <si>
    <t>DELHI</t>
  </si>
  <si>
    <t>PATNA</t>
  </si>
  <si>
    <t>SURAT</t>
  </si>
  <si>
    <t>RANCHI</t>
  </si>
  <si>
    <t>PUNE</t>
  </si>
  <si>
    <t>WARDHA</t>
  </si>
  <si>
    <t>BIHAR</t>
  </si>
  <si>
    <t>AWAY FROM TARGET HIT%</t>
  </si>
  <si>
    <t>Row Labels</t>
  </si>
  <si>
    <t xml:space="preserve"> TOTAL SALES</t>
  </si>
  <si>
    <t>AWAY FROM TARGET HIT% WISE</t>
  </si>
  <si>
    <t xml:space="preserve"> TARGET HIT%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</si>
</sst>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Calibri"/>
      <family val="2"/>
      <scheme val="minor"/>
    </font>
    <font>
      <sz val="8"/>
      <name val="Calibri"/>
      <family val="2"/>
      <scheme val="minor"/>
    </font>
    <font>
      <sz val="8"/>
      <color rgb="FF000000"/>
      <name val="Segoe UI"/>
      <family val="2"/>
    </font>
  </fonts>
  <fills count="4">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s>
  <borders count="1">
    <border>
      <left/>
      <right/>
      <top/>
      <bottom/>
      <diagonal/>
    </border>
  </borders>
  <cellStyleXfs count="1">
    <xf numFmtId="0" fontId="0" fillId="0" borderId="0"/>
  </cellStyleXfs>
  <cellXfs count="8">
    <xf numFmtId="0" fontId="0" fillId="0" borderId="0" xfId="0"/>
    <xf numFmtId="0" fontId="0" fillId="2" borderId="0" xfId="0" applyFill="1"/>
    <xf numFmtId="10"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3" borderId="0" xfId="0" applyFill="1"/>
    <xf numFmtId="0" fontId="0" fillId="0" borderId="0" xfId="0" applyNumberFormat="1"/>
  </cellXfs>
  <cellStyles count="1">
    <cellStyle name="Normal" xfId="0" builtinId="0"/>
  </cellStyles>
  <dxfs count="1">
    <dxf>
      <fill>
        <patternFill>
          <bgColor theme="1"/>
        </patternFill>
      </fill>
    </dxf>
  </dxfs>
  <tableStyles count="1" defaultTableStyle="TableStyleMedium2" defaultPivotStyle="PivotStyleLight16">
    <tableStyle name="Slicer Style 1" pivot="0" table="0" count="5" xr9:uid="{0CF04040-3916-40E3-A198-B8F4569E6E06}">
      <tableStyleElement type="wholeTable" dxfId="0"/>
    </tableStyle>
  </tableStyles>
  <extLst>
    <ext xmlns:x14="http://schemas.microsoft.com/office/spreadsheetml/2009/9/main" uri="{46F421CA-312F-682f-3DD2-61675219B42D}">
      <x14:dxfs count="4">
        <dxf>
          <fill>
            <patternFill>
              <bgColor rgb="FF00B0F0"/>
            </patternFill>
          </fill>
        </dxf>
        <dxf>
          <fill>
            <patternFill>
              <bgColor rgb="FFFF0000"/>
            </patternFill>
          </fill>
        </dxf>
        <dxf>
          <fill>
            <patternFill>
              <bgColor rgb="FF7030A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file.xlsm]DASHBOARD!PivotTable1</c:name>
    <c:fmtId val="0"/>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DASHBOARD!$A$4:$A$8</c:f>
              <c:strCache>
                <c:ptCount val="5"/>
                <c:pt idx="0">
                  <c:v>DEEP RAMDHAM</c:v>
                </c:pt>
                <c:pt idx="1">
                  <c:v>PAYAL LAD</c:v>
                </c:pt>
                <c:pt idx="2">
                  <c:v>RAJ VARMA</c:v>
                </c:pt>
                <c:pt idx="3">
                  <c:v>SAMI HAJARE</c:v>
                </c:pt>
                <c:pt idx="4">
                  <c:v>SANDIP SATPUTE</c:v>
                </c:pt>
              </c:strCache>
            </c:strRef>
          </c:cat>
          <c:val>
            <c:numRef>
              <c:f>DASHBOARD!$B$4:$B$8</c:f>
              <c:numCache>
                <c:formatCode>General</c:formatCode>
                <c:ptCount val="5"/>
                <c:pt idx="0">
                  <c:v>2327</c:v>
                </c:pt>
                <c:pt idx="1">
                  <c:v>2210</c:v>
                </c:pt>
                <c:pt idx="2">
                  <c:v>2160</c:v>
                </c:pt>
                <c:pt idx="3">
                  <c:v>2273</c:v>
                </c:pt>
                <c:pt idx="4">
                  <c:v>2028</c:v>
                </c:pt>
              </c:numCache>
            </c:numRef>
          </c:val>
          <c:extLst>
            <c:ext xmlns:c16="http://schemas.microsoft.com/office/drawing/2014/chart" uri="{C3380CC4-5D6E-409C-BE32-E72D297353CC}">
              <c16:uniqueId val="{00000000-9DB7-45CA-A8FE-E5438156C7B2}"/>
            </c:ext>
          </c:extLst>
        </c:ser>
        <c:dLbls>
          <c:showLegendKey val="0"/>
          <c:showVal val="0"/>
          <c:showCatName val="0"/>
          <c:showSerName val="0"/>
          <c:showPercent val="0"/>
          <c:showBubbleSize val="0"/>
        </c:dLbls>
        <c:gapWidth val="315"/>
        <c:overlap val="-40"/>
        <c:axId val="623336031"/>
        <c:axId val="623317311"/>
      </c:barChart>
      <c:catAx>
        <c:axId val="6233360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3317311"/>
        <c:crosses val="autoZero"/>
        <c:auto val="1"/>
        <c:lblAlgn val="ctr"/>
        <c:lblOffset val="100"/>
        <c:noMultiLvlLbl val="0"/>
      </c:catAx>
      <c:valAx>
        <c:axId val="623317311"/>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623336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file.xlsm]DASHBOARD!PivotTable3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535-43F2-8D89-67CB98ED0B8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535-43F2-8D89-67CB98ED0B8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535-43F2-8D89-67CB98ED0B8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535-43F2-8D89-67CB98ED0B8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535-43F2-8D89-67CB98ED0B8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DEEP RAMDHAM</c:v>
                </c:pt>
                <c:pt idx="1">
                  <c:v>PAYAL LAD</c:v>
                </c:pt>
                <c:pt idx="2">
                  <c:v>RAJ VARMA</c:v>
                </c:pt>
                <c:pt idx="3">
                  <c:v>SAMI HAJARE</c:v>
                </c:pt>
                <c:pt idx="4">
                  <c:v>SANDIP SATPUTE</c:v>
                </c:pt>
              </c:strCache>
            </c:strRef>
          </c:cat>
          <c:val>
            <c:numRef>
              <c:f>DASHBOARD!$H$4:$H$8</c:f>
              <c:numCache>
                <c:formatCode>0.0%</c:formatCode>
                <c:ptCount val="5"/>
                <c:pt idx="0">
                  <c:v>4.6539999999999999</c:v>
                </c:pt>
                <c:pt idx="1">
                  <c:v>4.42</c:v>
                </c:pt>
                <c:pt idx="2">
                  <c:v>4.32</c:v>
                </c:pt>
                <c:pt idx="3">
                  <c:v>4.5460000000000003</c:v>
                </c:pt>
                <c:pt idx="4">
                  <c:v>4.056</c:v>
                </c:pt>
              </c:numCache>
            </c:numRef>
          </c:val>
          <c:extLst>
            <c:ext xmlns:c16="http://schemas.microsoft.com/office/drawing/2014/chart" uri="{C3380CC4-5D6E-409C-BE32-E72D297353CC}">
              <c16:uniqueId val="{00000000-88E5-40CF-9CD0-2C6D4D7665E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file.xlsm]DASHBOARD!PivotTable4</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4.6854082998661312E-2"/>
              <c:y val="-5.1635111876075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41622922134733E-2"/>
          <c:y val="7.407407407407407E-2"/>
          <c:w val="0.93888888888888888"/>
          <c:h val="0.8416746864975212"/>
        </c:manualLayout>
      </c:layout>
      <c:lineChart>
        <c:grouping val="standard"/>
        <c:varyColors val="0"/>
        <c:ser>
          <c:idx val="0"/>
          <c:order val="0"/>
          <c:tx>
            <c:strRef>
              <c:f>DASHBOARD!$K$3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Pt>
            <c:idx val="0"/>
            <c:marker>
              <c:symbol val="circle"/>
              <c:size val="5"/>
              <c:spPr>
                <a:solidFill>
                  <a:schemeClr val="accent1"/>
                </a:solidFill>
                <a:ln w="22225">
                  <a:solidFill>
                    <a:schemeClr val="lt1"/>
                  </a:solidFill>
                  <a:round/>
                </a:ln>
                <a:effectLst/>
              </c:spPr>
            </c:marker>
            <c:bubble3D val="0"/>
            <c:spPr>
              <a:ln w="34925" cap="rnd">
                <a:solidFill>
                  <a:schemeClr val="lt1"/>
                </a:solidFill>
                <a:round/>
              </a:ln>
              <a:effectLst>
                <a:outerShdw dist="25400" dir="2700000" algn="tl" rotWithShape="0">
                  <a:schemeClr val="accent1"/>
                </a:outerShdw>
              </a:effectLst>
            </c:spPr>
            <c:extLst>
              <c:ext xmlns:c16="http://schemas.microsoft.com/office/drawing/2014/chart" uri="{C3380CC4-5D6E-409C-BE32-E72D297353CC}">
                <c16:uniqueId val="{00000000-90DC-4381-9741-93D9F61B45F5}"/>
              </c:ext>
            </c:extLst>
          </c:dPt>
          <c:dLbls>
            <c:dLbl>
              <c:idx val="0"/>
              <c:layout>
                <c:manualLayout>
                  <c:x val="-4.6854082998661312E-2"/>
                  <c:y val="-5.1635111876075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DC-4381-9741-93D9F61B45F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DASHBOARD!$J$4:$J$8</c:f>
              <c:strCache>
                <c:ptCount val="5"/>
                <c:pt idx="0">
                  <c:v>DEEP RAMDHAM</c:v>
                </c:pt>
                <c:pt idx="1">
                  <c:v>PAYAL LAD</c:v>
                </c:pt>
                <c:pt idx="2">
                  <c:v>RAJ VARMA</c:v>
                </c:pt>
                <c:pt idx="3">
                  <c:v>SAMI HAJARE</c:v>
                </c:pt>
                <c:pt idx="4">
                  <c:v>SANDIP SATPUTE</c:v>
                </c:pt>
              </c:strCache>
            </c:strRef>
          </c:cat>
          <c:val>
            <c:numRef>
              <c:f>DASHBOARD!$K$4:$K$8</c:f>
              <c:numCache>
                <c:formatCode>0.0%</c:formatCode>
                <c:ptCount val="5"/>
                <c:pt idx="0">
                  <c:v>4.6539999999999999</c:v>
                </c:pt>
                <c:pt idx="1">
                  <c:v>4.42</c:v>
                </c:pt>
                <c:pt idx="2">
                  <c:v>4.32</c:v>
                </c:pt>
                <c:pt idx="3">
                  <c:v>4.5460000000000003</c:v>
                </c:pt>
                <c:pt idx="4">
                  <c:v>4.056</c:v>
                </c:pt>
              </c:numCache>
            </c:numRef>
          </c:val>
          <c:smooth val="0"/>
          <c:extLst>
            <c:ext xmlns:c16="http://schemas.microsoft.com/office/drawing/2014/chart" uri="{C3380CC4-5D6E-409C-BE32-E72D297353CC}">
              <c16:uniqueId val="{00000000-E7DD-4F64-90D6-5E8E01F2854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23355231"/>
        <c:axId val="623356191"/>
      </c:lineChart>
      <c:catAx>
        <c:axId val="62335523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623356191"/>
        <c:crosses val="autoZero"/>
        <c:auto val="1"/>
        <c:lblAlgn val="ctr"/>
        <c:lblOffset val="100"/>
        <c:noMultiLvlLbl val="0"/>
      </c:catAx>
      <c:valAx>
        <c:axId val="623356191"/>
        <c:scaling>
          <c:orientation val="minMax"/>
        </c:scaling>
        <c:delete val="1"/>
        <c:axPos val="l"/>
        <c:numFmt formatCode="0.0%" sourceLinked="1"/>
        <c:majorTickMark val="none"/>
        <c:minorTickMark val="none"/>
        <c:tickLblPos val="nextTo"/>
        <c:crossAx val="62335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106680</xdr:colOff>
      <xdr:row>9</xdr:row>
      <xdr:rowOff>148590</xdr:rowOff>
    </xdr:from>
    <xdr:to>
      <xdr:col>3</xdr:col>
      <xdr:colOff>944880</xdr:colOff>
      <xdr:row>22</xdr:row>
      <xdr:rowOff>121920</xdr:rowOff>
    </xdr:to>
    <xdr:graphicFrame macro="">
      <xdr:nvGraphicFramePr>
        <xdr:cNvPr id="2" name="Chart 1">
          <a:extLst>
            <a:ext uri="{FF2B5EF4-FFF2-40B4-BE49-F238E27FC236}">
              <a16:creationId xmlns:a16="http://schemas.microsoft.com/office/drawing/2014/main" id="{FF33E90F-AC44-A0E2-6C6D-1E6BE083C1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1135380</xdr:colOff>
      <xdr:row>10</xdr:row>
      <xdr:rowOff>0</xdr:rowOff>
    </xdr:from>
    <xdr:to>
      <xdr:col>6</xdr:col>
      <xdr:colOff>754380</xdr:colOff>
      <xdr:row>22</xdr:row>
      <xdr:rowOff>76200</xdr:rowOff>
    </xdr:to>
    <xdr:graphicFrame macro="">
      <xdr:nvGraphicFramePr>
        <xdr:cNvPr id="4" name="Chart 3">
          <a:extLst>
            <a:ext uri="{FF2B5EF4-FFF2-40B4-BE49-F238E27FC236}">
              <a16:creationId xmlns:a16="http://schemas.microsoft.com/office/drawing/2014/main" id="{11F624E6-9144-F7EE-F2CB-2AB1BB2351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853440</xdr:colOff>
      <xdr:row>9</xdr:row>
      <xdr:rowOff>133350</xdr:rowOff>
    </xdr:from>
    <xdr:to>
      <xdr:col>10</xdr:col>
      <xdr:colOff>1059180</xdr:colOff>
      <xdr:row>21</xdr:row>
      <xdr:rowOff>152400</xdr:rowOff>
    </xdr:to>
    <xdr:graphicFrame macro="">
      <xdr:nvGraphicFramePr>
        <xdr:cNvPr id="5" name="Chart 4">
          <a:extLst>
            <a:ext uri="{FF2B5EF4-FFF2-40B4-BE49-F238E27FC236}">
              <a16:creationId xmlns:a16="http://schemas.microsoft.com/office/drawing/2014/main" id="{2B8D4B1D-45BC-4D45-FA05-DFFD3AB6AC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91440</xdr:colOff>
      <xdr:row>0</xdr:row>
      <xdr:rowOff>106681</xdr:rowOff>
    </xdr:from>
    <xdr:to>
      <xdr:col>10</xdr:col>
      <xdr:colOff>967740</xdr:colOff>
      <xdr:row>1</xdr:row>
      <xdr:rowOff>335280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BBABA8FC-36B7-A97E-71EB-EE532A4C1C9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1440" y="106681"/>
              <a:ext cx="999744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259080</xdr:colOff>
      <xdr:row>1</xdr:row>
      <xdr:rowOff>426720</xdr:rowOff>
    </xdr:from>
    <xdr:to>
      <xdr:col>1</xdr:col>
      <xdr:colOff>518160</xdr:colOff>
      <xdr:row>1</xdr:row>
      <xdr:rowOff>848868</xdr:rowOff>
    </xdr:to>
    <xdr:sp macro="[0]!SpeechBubbleRectanglewithCornersRounded6_Click" textlink="">
      <xdr:nvSpPr>
        <xdr:cNvPr id="7" name="Speech Bubble: Rectangle with Corners Rounded 6">
          <a:extLst>
            <a:ext uri="{FF2B5EF4-FFF2-40B4-BE49-F238E27FC236}">
              <a16:creationId xmlns:a16="http://schemas.microsoft.com/office/drawing/2014/main" id="{4D67BB8C-EE93-CDEE-5774-5A0E90DBC661}"/>
            </a:ext>
          </a:extLst>
        </xdr:cNvPr>
        <xdr:cNvSpPr/>
      </xdr:nvSpPr>
      <xdr:spPr>
        <a:xfrm>
          <a:off x="259080" y="609600"/>
          <a:ext cx="1508760" cy="422148"/>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396240</xdr:colOff>
      <xdr:row>1</xdr:row>
      <xdr:rowOff>411480</xdr:rowOff>
    </xdr:from>
    <xdr:to>
      <xdr:col>4</xdr:col>
      <xdr:colOff>670560</xdr:colOff>
      <xdr:row>1</xdr:row>
      <xdr:rowOff>826008</xdr:rowOff>
    </xdr:to>
    <xdr:sp macro="" textlink="">
      <xdr:nvSpPr>
        <xdr:cNvPr id="8" name="Speech Bubble: Rectangle with Corners Rounded 7">
          <a:extLst>
            <a:ext uri="{FF2B5EF4-FFF2-40B4-BE49-F238E27FC236}">
              <a16:creationId xmlns:a16="http://schemas.microsoft.com/office/drawing/2014/main" id="{AA3FA020-BDA4-EF08-8821-9EAA0AA0A814}"/>
            </a:ext>
          </a:extLst>
        </xdr:cNvPr>
        <xdr:cNvSpPr/>
      </xdr:nvSpPr>
      <xdr:spPr>
        <a:xfrm>
          <a:off x="3169920" y="594360"/>
          <a:ext cx="1524000" cy="414528"/>
        </a:xfrm>
        <a:prstGeom prst="wedgeRoundRectCallou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259080</xdr:colOff>
      <xdr:row>1</xdr:row>
      <xdr:rowOff>411480</xdr:rowOff>
    </xdr:from>
    <xdr:to>
      <xdr:col>7</xdr:col>
      <xdr:colOff>739140</xdr:colOff>
      <xdr:row>1</xdr:row>
      <xdr:rowOff>833628</xdr:rowOff>
    </xdr:to>
    <xdr:sp macro="" textlink="">
      <xdr:nvSpPr>
        <xdr:cNvPr id="9" name="Speech Bubble: Rectangle with Corners Rounded 8">
          <a:extLst>
            <a:ext uri="{FF2B5EF4-FFF2-40B4-BE49-F238E27FC236}">
              <a16:creationId xmlns:a16="http://schemas.microsoft.com/office/drawing/2014/main" id="{6D0A1A0D-8864-4550-8569-25ABB50EC3E5}"/>
            </a:ext>
          </a:extLst>
        </xdr:cNvPr>
        <xdr:cNvSpPr/>
      </xdr:nvSpPr>
      <xdr:spPr>
        <a:xfrm>
          <a:off x="5791200" y="594360"/>
          <a:ext cx="1508760" cy="422148"/>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304800</xdr:colOff>
      <xdr:row>1</xdr:row>
      <xdr:rowOff>396240</xdr:rowOff>
    </xdr:from>
    <xdr:to>
      <xdr:col>10</xdr:col>
      <xdr:colOff>784860</xdr:colOff>
      <xdr:row>1</xdr:row>
      <xdr:rowOff>818388</xdr:rowOff>
    </xdr:to>
    <xdr:sp macro="" textlink="">
      <xdr:nvSpPr>
        <xdr:cNvPr id="10" name="Speech Bubble: Rectangle with Corners Rounded 9">
          <a:extLst>
            <a:ext uri="{FF2B5EF4-FFF2-40B4-BE49-F238E27FC236}">
              <a16:creationId xmlns:a16="http://schemas.microsoft.com/office/drawing/2014/main" id="{82E1275C-3FEB-4FCA-AA0C-5626705AEEBF}"/>
            </a:ext>
          </a:extLst>
        </xdr:cNvPr>
        <xdr:cNvSpPr/>
      </xdr:nvSpPr>
      <xdr:spPr>
        <a:xfrm>
          <a:off x="8397240" y="579120"/>
          <a:ext cx="1508760" cy="422148"/>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533400</xdr:rowOff>
        </xdr:from>
        <xdr:to>
          <xdr:col>1</xdr:col>
          <xdr:colOff>47625</xdr:colOff>
          <xdr:row>1</xdr:row>
          <xdr:rowOff>742950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695325</xdr:colOff>
          <xdr:row>1</xdr:row>
          <xdr:rowOff>514350</xdr:rowOff>
        </xdr:from>
        <xdr:to>
          <xdr:col>4</xdr:col>
          <xdr:colOff>180975</xdr:colOff>
          <xdr:row>1</xdr:row>
          <xdr:rowOff>733425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1</xdr:row>
          <xdr:rowOff>514350</xdr:rowOff>
        </xdr:from>
        <xdr:to>
          <xdr:col>7</xdr:col>
          <xdr:colOff>247650</xdr:colOff>
          <xdr:row>1</xdr:row>
          <xdr:rowOff>723900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1</xdr:row>
          <xdr:rowOff>476250</xdr:rowOff>
        </xdr:from>
        <xdr:to>
          <xdr:col>10</xdr:col>
          <xdr:colOff>285750</xdr:colOff>
          <xdr:row>1</xdr:row>
          <xdr:rowOff>695325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64.907448958336" createdVersion="8" refreshedVersion="8" minRefreshableVersion="3" recordCount="100" xr:uid="{FFE6E4CE-B90C-4184-8DC8-7E0D46A08463}">
  <cacheSource type="worksheet">
    <worksheetSource ref="A1:L101" sheet="ROW DATA"/>
  </cacheSource>
  <cacheFields count="12">
    <cacheField name="EMP CODE" numFmtId="0">
      <sharedItems/>
    </cacheField>
    <cacheField name="SALES EXECUTIVE" numFmtId="0">
      <sharedItems count="12">
        <s v="RAJ VARMA"/>
        <s v="SAMI HAJARE"/>
        <s v="DEEP RAMDHAM"/>
        <s v="PAYAL LAD"/>
        <s v="TRUPTI KHARABE"/>
        <s v="ADITYA DESHMUKH"/>
        <s v="KOMAL AAKHARE"/>
        <s v="PRAJAKTA KALE"/>
        <s v="PRANAY KALE"/>
        <s v="SANDIP SATPUTE"/>
        <s v="ANUJ SHARMA"/>
        <s v="ARVIND SHARMA"/>
      </sharedItems>
    </cacheField>
    <cacheField name="REGION" numFmtId="0">
      <sharedItems count="10">
        <s v="MUMBAI"/>
        <s v="NAGPUR"/>
        <s v="CHENNAI"/>
        <s v="DELHI"/>
        <s v="PATNA"/>
        <s v="SURAT"/>
        <s v="RANCHI"/>
        <s v="PUNE"/>
        <s v="WARDHA"/>
        <s v="BIHAR"/>
      </sharedItems>
    </cacheField>
    <cacheField name="DAY1" numFmtId="0">
      <sharedItems containsSemiMixedTypes="0" containsString="0" containsNumber="1" containsInteger="1" minValue="22" maxValue="99"/>
    </cacheField>
    <cacheField name="DAY2" numFmtId="0">
      <sharedItems containsSemiMixedTypes="0" containsString="0" containsNumber="1" containsInteger="1" minValue="12" maxValue="66"/>
    </cacheField>
    <cacheField name="DAY3" numFmtId="0">
      <sharedItems containsSemiMixedTypes="0" containsString="0" containsNumber="1" containsInteger="1" minValue="12" maxValue="77"/>
    </cacheField>
    <cacheField name="DAY4" numFmtId="0">
      <sharedItems containsSemiMixedTypes="0" containsString="0" containsNumber="1" containsInteger="1" minValue="22" maxValue="66"/>
    </cacheField>
    <cacheField name="DAY5" numFmtId="0">
      <sharedItems containsSemiMixedTypes="0" containsString="0" containsNumber="1" containsInteger="1" minValue="23" maxValue="99"/>
    </cacheField>
    <cacheField name="TOTAL SALES" numFmtId="0">
      <sharedItems containsSemiMixedTypes="0" containsString="0" containsNumber="1" containsInteger="1" minValue="151" maxValue="336"/>
    </cacheField>
    <cacheField name="TARGET" numFmtId="0">
      <sharedItems containsSemiMixedTypes="0" containsString="0" containsNumber="1" containsInteger="1" minValue="500" maxValue="500"/>
    </cacheField>
    <cacheField name="TARGET HIT%" numFmtId="0">
      <sharedItems containsSemiMixedTypes="0" containsString="0" containsNumber="1" minValue="0.30199999999999999" maxValue="0.67200000000000004"/>
    </cacheField>
    <cacheField name="AWAY FROM TARGET HIT%" numFmtId="10">
      <sharedItems containsSemiMixedTypes="0" containsString="0" containsNumber="1" minValue="0.32799999999999996" maxValue="0.69799999999999995"/>
    </cacheField>
  </cacheFields>
  <extLst>
    <ext xmlns:x14="http://schemas.microsoft.com/office/spreadsheetml/2009/9/main" uri="{725AE2AE-9491-48be-B2B4-4EB974FC3084}">
      <x14:pivotCacheDefinition pivotCacheId="1070838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MP-001"/>
    <x v="0"/>
    <x v="0"/>
    <n v="62"/>
    <n v="32"/>
    <n v="19"/>
    <n v="40"/>
    <n v="64"/>
    <n v="217"/>
    <n v="500"/>
    <n v="0.434"/>
    <n v="0.56600000000000006"/>
  </r>
  <r>
    <s v="EMP-002"/>
    <x v="1"/>
    <x v="1"/>
    <n v="91"/>
    <n v="28"/>
    <n v="18"/>
    <n v="62"/>
    <n v="99"/>
    <n v="298"/>
    <n v="500"/>
    <n v="0.59599999999999997"/>
    <n v="0.40400000000000003"/>
  </r>
  <r>
    <s v="EMP-003"/>
    <x v="2"/>
    <x v="2"/>
    <n v="99"/>
    <n v="52"/>
    <n v="18"/>
    <n v="29"/>
    <n v="55"/>
    <n v="253"/>
    <n v="500"/>
    <n v="0.50600000000000001"/>
    <n v="0.49399999999999999"/>
  </r>
  <r>
    <s v="EMP-004"/>
    <x v="3"/>
    <x v="3"/>
    <n v="76"/>
    <n v="43"/>
    <n v="54"/>
    <n v="50"/>
    <n v="65"/>
    <n v="288"/>
    <n v="500"/>
    <n v="0.57599999999999996"/>
    <n v="0.42400000000000004"/>
  </r>
  <r>
    <s v="EMP-005"/>
    <x v="4"/>
    <x v="4"/>
    <n v="48"/>
    <n v="15"/>
    <n v="58"/>
    <n v="65"/>
    <n v="99"/>
    <n v="285"/>
    <n v="500"/>
    <n v="0.56999999999999995"/>
    <n v="0.43000000000000005"/>
  </r>
  <r>
    <s v="EMP-006"/>
    <x v="5"/>
    <x v="5"/>
    <n v="77"/>
    <n v="20"/>
    <n v="19"/>
    <n v="27"/>
    <n v="23"/>
    <n v="166"/>
    <n v="500"/>
    <n v="0.33200000000000002"/>
    <n v="0.66799999999999993"/>
  </r>
  <r>
    <s v="EMP-007"/>
    <x v="6"/>
    <x v="6"/>
    <n v="65"/>
    <n v="52"/>
    <n v="20"/>
    <n v="34"/>
    <n v="68"/>
    <n v="239"/>
    <n v="500"/>
    <n v="0.47799999999999998"/>
    <n v="0.52200000000000002"/>
  </r>
  <r>
    <s v="EMP-008"/>
    <x v="7"/>
    <x v="7"/>
    <n v="57"/>
    <n v="51"/>
    <n v="21"/>
    <n v="51"/>
    <n v="23"/>
    <n v="203"/>
    <n v="500"/>
    <n v="0.40600000000000003"/>
    <n v="0.59399999999999997"/>
  </r>
  <r>
    <s v="EMP-009"/>
    <x v="8"/>
    <x v="8"/>
    <n v="42"/>
    <n v="47"/>
    <n v="43"/>
    <n v="33"/>
    <n v="81"/>
    <n v="246"/>
    <n v="500"/>
    <n v="0.49199999999999999"/>
    <n v="0.50800000000000001"/>
  </r>
  <r>
    <s v="EMP-010"/>
    <x v="9"/>
    <x v="9"/>
    <n v="90"/>
    <n v="29"/>
    <n v="17"/>
    <n v="28"/>
    <n v="76"/>
    <n v="240"/>
    <n v="500"/>
    <n v="0.48"/>
    <n v="0.52"/>
  </r>
  <r>
    <s v="EMP-011"/>
    <x v="10"/>
    <x v="0"/>
    <n v="37"/>
    <n v="15"/>
    <n v="44"/>
    <n v="23"/>
    <n v="68"/>
    <n v="187"/>
    <n v="500"/>
    <n v="0.374"/>
    <n v="0.626"/>
  </r>
  <r>
    <s v="EMP-012"/>
    <x v="11"/>
    <x v="1"/>
    <n v="44"/>
    <n v="30"/>
    <n v="16"/>
    <n v="38"/>
    <n v="92"/>
    <n v="220"/>
    <n v="500"/>
    <n v="0.44"/>
    <n v="0.56000000000000005"/>
  </r>
  <r>
    <s v="EMP-013"/>
    <x v="0"/>
    <x v="2"/>
    <n v="51"/>
    <n v="47"/>
    <n v="32"/>
    <n v="25"/>
    <n v="46"/>
    <n v="201"/>
    <n v="500"/>
    <n v="0.40200000000000002"/>
    <n v="0.59799999999999998"/>
  </r>
  <r>
    <s v="EMP-014"/>
    <x v="1"/>
    <x v="3"/>
    <n v="87"/>
    <n v="33"/>
    <n v="42"/>
    <n v="55"/>
    <n v="82"/>
    <n v="299"/>
    <n v="500"/>
    <n v="0.59799999999999998"/>
    <n v="0.40200000000000002"/>
  </r>
  <r>
    <s v="EMP-015"/>
    <x v="2"/>
    <x v="4"/>
    <n v="76"/>
    <n v="60"/>
    <n v="56"/>
    <n v="32"/>
    <n v="41"/>
    <n v="265"/>
    <n v="500"/>
    <n v="0.53"/>
    <n v="0.47"/>
  </r>
  <r>
    <s v="EMP-016"/>
    <x v="3"/>
    <x v="5"/>
    <n v="56"/>
    <n v="52"/>
    <n v="53"/>
    <n v="63"/>
    <n v="47"/>
    <n v="271"/>
    <n v="500"/>
    <n v="0.54200000000000004"/>
    <n v="0.45799999999999996"/>
  </r>
  <r>
    <s v="EMP-017"/>
    <x v="4"/>
    <x v="6"/>
    <n v="94"/>
    <n v="18"/>
    <n v="58"/>
    <n v="37"/>
    <n v="30"/>
    <n v="237"/>
    <n v="500"/>
    <n v="0.47399999999999998"/>
    <n v="0.52600000000000002"/>
  </r>
  <r>
    <s v="EMP-018"/>
    <x v="5"/>
    <x v="7"/>
    <n v="98"/>
    <n v="29"/>
    <n v="62"/>
    <n v="24"/>
    <n v="29"/>
    <n v="242"/>
    <n v="500"/>
    <n v="0.48399999999999999"/>
    <n v="0.51600000000000001"/>
  </r>
  <r>
    <s v="EMP-019"/>
    <x v="6"/>
    <x v="8"/>
    <n v="72"/>
    <n v="17"/>
    <n v="35"/>
    <n v="34"/>
    <n v="80"/>
    <n v="238"/>
    <n v="500"/>
    <n v="0.47599999999999998"/>
    <n v="0.52400000000000002"/>
  </r>
  <r>
    <s v="EMP-020"/>
    <x v="7"/>
    <x v="9"/>
    <n v="28"/>
    <n v="53"/>
    <n v="69"/>
    <n v="34"/>
    <n v="91"/>
    <n v="275"/>
    <n v="500"/>
    <n v="0.55000000000000004"/>
    <n v="0.44999999999999996"/>
  </r>
  <r>
    <s v="EMP-021"/>
    <x v="8"/>
    <x v="0"/>
    <n v="56"/>
    <n v="17"/>
    <n v="71"/>
    <n v="53"/>
    <n v="52"/>
    <n v="249"/>
    <n v="500"/>
    <n v="0.498"/>
    <n v="0.502"/>
  </r>
  <r>
    <s v="EMP-022"/>
    <x v="9"/>
    <x v="1"/>
    <n v="40"/>
    <n v="50"/>
    <n v="77"/>
    <n v="41"/>
    <n v="64"/>
    <n v="272"/>
    <n v="500"/>
    <n v="0.54400000000000004"/>
    <n v="0.45599999999999996"/>
  </r>
  <r>
    <s v="EMP-023"/>
    <x v="10"/>
    <x v="2"/>
    <n v="41"/>
    <n v="60"/>
    <n v="50"/>
    <n v="28"/>
    <n v="66"/>
    <n v="245"/>
    <n v="500"/>
    <n v="0.49"/>
    <n v="0.51"/>
  </r>
  <r>
    <s v="EMP-024"/>
    <x v="11"/>
    <x v="3"/>
    <n v="25"/>
    <n v="12"/>
    <n v="49"/>
    <n v="38"/>
    <n v="96"/>
    <n v="220"/>
    <n v="500"/>
    <n v="0.44"/>
    <n v="0.56000000000000005"/>
  </r>
  <r>
    <s v="EMP-025"/>
    <x v="0"/>
    <x v="4"/>
    <n v="42"/>
    <n v="37"/>
    <n v="60"/>
    <n v="54"/>
    <n v="82"/>
    <n v="275"/>
    <n v="500"/>
    <n v="0.55000000000000004"/>
    <n v="0.44999999999999996"/>
  </r>
  <r>
    <s v="EMP-026"/>
    <x v="1"/>
    <x v="5"/>
    <n v="60"/>
    <n v="33"/>
    <n v="41"/>
    <n v="45"/>
    <n v="30"/>
    <n v="209"/>
    <n v="500"/>
    <n v="0.41799999999999998"/>
    <n v="0.58200000000000007"/>
  </r>
  <r>
    <s v="EMP-027"/>
    <x v="2"/>
    <x v="6"/>
    <n v="63"/>
    <n v="66"/>
    <n v="19"/>
    <n v="53"/>
    <n v="82"/>
    <n v="283"/>
    <n v="500"/>
    <n v="0.56599999999999995"/>
    <n v="0.43400000000000005"/>
  </r>
  <r>
    <s v="EMP-028"/>
    <x v="3"/>
    <x v="7"/>
    <n v="74"/>
    <n v="63"/>
    <n v="49"/>
    <n v="37"/>
    <n v="75"/>
    <n v="298"/>
    <n v="500"/>
    <n v="0.59599999999999997"/>
    <n v="0.40400000000000003"/>
  </r>
  <r>
    <s v="EMP-029"/>
    <x v="4"/>
    <x v="8"/>
    <n v="91"/>
    <n v="49"/>
    <n v="40"/>
    <n v="23"/>
    <n v="25"/>
    <n v="228"/>
    <n v="500"/>
    <n v="0.45600000000000002"/>
    <n v="0.54400000000000004"/>
  </r>
  <r>
    <s v="EMP-030"/>
    <x v="5"/>
    <x v="9"/>
    <n v="48"/>
    <n v="44"/>
    <n v="35"/>
    <n v="22"/>
    <n v="51"/>
    <n v="200"/>
    <n v="500"/>
    <n v="0.4"/>
    <n v="0.6"/>
  </r>
  <r>
    <s v="EMP-031"/>
    <x v="6"/>
    <x v="0"/>
    <n v="85"/>
    <n v="16"/>
    <n v="76"/>
    <n v="52"/>
    <n v="66"/>
    <n v="295"/>
    <n v="500"/>
    <n v="0.59"/>
    <n v="0.41000000000000003"/>
  </r>
  <r>
    <s v="EMP-032"/>
    <x v="7"/>
    <x v="1"/>
    <n v="61"/>
    <n v="49"/>
    <n v="43"/>
    <n v="54"/>
    <n v="31"/>
    <n v="238"/>
    <n v="500"/>
    <n v="0.47599999999999998"/>
    <n v="0.52400000000000002"/>
  </r>
  <r>
    <s v="EMP-033"/>
    <x v="8"/>
    <x v="2"/>
    <n v="90"/>
    <n v="21"/>
    <n v="32"/>
    <n v="59"/>
    <n v="39"/>
    <n v="241"/>
    <n v="500"/>
    <n v="0.48199999999999998"/>
    <n v="0.51800000000000002"/>
  </r>
  <r>
    <s v="EMP-034"/>
    <x v="9"/>
    <x v="3"/>
    <n v="76"/>
    <n v="52"/>
    <n v="73"/>
    <n v="65"/>
    <n v="56"/>
    <n v="322"/>
    <n v="500"/>
    <n v="0.64400000000000002"/>
    <n v="0.35599999999999998"/>
  </r>
  <r>
    <s v="EMP-035"/>
    <x v="10"/>
    <x v="4"/>
    <n v="27"/>
    <n v="47"/>
    <n v="34"/>
    <n v="57"/>
    <n v="28"/>
    <n v="193"/>
    <n v="500"/>
    <n v="0.38600000000000001"/>
    <n v="0.61399999999999999"/>
  </r>
  <r>
    <s v="EMP-036"/>
    <x v="11"/>
    <x v="5"/>
    <n v="60"/>
    <n v="44"/>
    <n v="52"/>
    <n v="27"/>
    <n v="89"/>
    <n v="272"/>
    <n v="500"/>
    <n v="0.54400000000000004"/>
    <n v="0.45599999999999996"/>
  </r>
  <r>
    <s v="EMP-037"/>
    <x v="0"/>
    <x v="6"/>
    <n v="87"/>
    <n v="27"/>
    <n v="46"/>
    <n v="55"/>
    <n v="71"/>
    <n v="286"/>
    <n v="500"/>
    <n v="0.57199999999999995"/>
    <n v="0.42800000000000005"/>
  </r>
  <r>
    <s v="EMP-038"/>
    <x v="1"/>
    <x v="7"/>
    <n v="57"/>
    <n v="41"/>
    <n v="16"/>
    <n v="55"/>
    <n v="36"/>
    <n v="205"/>
    <n v="500"/>
    <n v="0.41"/>
    <n v="0.59000000000000008"/>
  </r>
  <r>
    <s v="EMP-039"/>
    <x v="2"/>
    <x v="8"/>
    <n v="42"/>
    <n v="20"/>
    <n v="25"/>
    <n v="35"/>
    <n v="30"/>
    <n v="152"/>
    <n v="500"/>
    <n v="0.30399999999999999"/>
    <n v="0.69599999999999995"/>
  </r>
  <r>
    <s v="EMP-040"/>
    <x v="3"/>
    <x v="9"/>
    <n v="24"/>
    <n v="48"/>
    <n v="63"/>
    <n v="23"/>
    <n v="38"/>
    <n v="196"/>
    <n v="500"/>
    <n v="0.39200000000000002"/>
    <n v="0.60799999999999998"/>
  </r>
  <r>
    <s v="EMP-041"/>
    <x v="4"/>
    <x v="0"/>
    <n v="62"/>
    <n v="49"/>
    <n v="61"/>
    <n v="45"/>
    <n v="82"/>
    <n v="299"/>
    <n v="500"/>
    <n v="0.59799999999999998"/>
    <n v="0.40200000000000002"/>
  </r>
  <r>
    <s v="EMP-042"/>
    <x v="5"/>
    <x v="1"/>
    <n v="98"/>
    <n v="53"/>
    <n v="21"/>
    <n v="58"/>
    <n v="62"/>
    <n v="292"/>
    <n v="500"/>
    <n v="0.58399999999999996"/>
    <n v="0.41600000000000004"/>
  </r>
  <r>
    <s v="EMP-043"/>
    <x v="6"/>
    <x v="2"/>
    <n v="27"/>
    <n v="14"/>
    <n v="64"/>
    <n v="60"/>
    <n v="72"/>
    <n v="237"/>
    <n v="500"/>
    <n v="0.47399999999999998"/>
    <n v="0.52600000000000002"/>
  </r>
  <r>
    <s v="EMP-044"/>
    <x v="7"/>
    <x v="3"/>
    <n v="24"/>
    <n v="60"/>
    <n v="54"/>
    <n v="32"/>
    <n v="70"/>
    <n v="240"/>
    <n v="500"/>
    <n v="0.48"/>
    <n v="0.52"/>
  </r>
  <r>
    <s v="EMP-045"/>
    <x v="8"/>
    <x v="4"/>
    <n v="83"/>
    <n v="38"/>
    <n v="36"/>
    <n v="56"/>
    <n v="52"/>
    <n v="265"/>
    <n v="500"/>
    <n v="0.53"/>
    <n v="0.47"/>
  </r>
  <r>
    <s v="EMP-046"/>
    <x v="9"/>
    <x v="5"/>
    <n v="59"/>
    <n v="30"/>
    <n v="33"/>
    <n v="45"/>
    <n v="45"/>
    <n v="212"/>
    <n v="500"/>
    <n v="0.42399999999999999"/>
    <n v="0.57600000000000007"/>
  </r>
  <r>
    <s v="EMP-047"/>
    <x v="10"/>
    <x v="6"/>
    <n v="24"/>
    <n v="64"/>
    <n v="27"/>
    <n v="66"/>
    <n v="30"/>
    <n v="211"/>
    <n v="500"/>
    <n v="0.42199999999999999"/>
    <n v="0.57800000000000007"/>
  </r>
  <r>
    <s v="EMP-048"/>
    <x v="11"/>
    <x v="7"/>
    <n v="68"/>
    <n v="20"/>
    <n v="23"/>
    <n v="64"/>
    <n v="41"/>
    <n v="216"/>
    <n v="500"/>
    <n v="0.432"/>
    <n v="0.56800000000000006"/>
  </r>
  <r>
    <s v="EMP-049"/>
    <x v="0"/>
    <x v="8"/>
    <n v="94"/>
    <n v="22"/>
    <n v="24"/>
    <n v="48"/>
    <n v="32"/>
    <n v="220"/>
    <n v="500"/>
    <n v="0.44"/>
    <n v="0.56000000000000005"/>
  </r>
  <r>
    <s v="EMP-050"/>
    <x v="1"/>
    <x v="9"/>
    <n v="86"/>
    <n v="60"/>
    <n v="60"/>
    <n v="52"/>
    <n v="30"/>
    <n v="288"/>
    <n v="500"/>
    <n v="0.57599999999999996"/>
    <n v="0.42400000000000004"/>
  </r>
  <r>
    <s v="EMP-051"/>
    <x v="2"/>
    <x v="0"/>
    <n v="32"/>
    <n v="14"/>
    <n v="39"/>
    <n v="65"/>
    <n v="81"/>
    <n v="231"/>
    <n v="500"/>
    <n v="0.46200000000000002"/>
    <n v="0.53800000000000003"/>
  </r>
  <r>
    <s v="EMP-052"/>
    <x v="3"/>
    <x v="1"/>
    <n v="59"/>
    <n v="14"/>
    <n v="17"/>
    <n v="31"/>
    <n v="30"/>
    <n v="151"/>
    <n v="500"/>
    <n v="0.30199999999999999"/>
    <n v="0.69799999999999995"/>
  </r>
  <r>
    <s v="EMP-053"/>
    <x v="4"/>
    <x v="2"/>
    <n v="43"/>
    <n v="23"/>
    <n v="49"/>
    <n v="62"/>
    <n v="81"/>
    <n v="258"/>
    <n v="500"/>
    <n v="0.51600000000000001"/>
    <n v="0.48399999999999999"/>
  </r>
  <r>
    <s v="EMP-054"/>
    <x v="5"/>
    <x v="3"/>
    <n v="66"/>
    <n v="35"/>
    <n v="55"/>
    <n v="25"/>
    <n v="39"/>
    <n v="220"/>
    <n v="500"/>
    <n v="0.44"/>
    <n v="0.56000000000000005"/>
  </r>
  <r>
    <s v="EMP-055"/>
    <x v="6"/>
    <x v="4"/>
    <n v="88"/>
    <n v="44"/>
    <n v="59"/>
    <n v="61"/>
    <n v="33"/>
    <n v="285"/>
    <n v="500"/>
    <n v="0.56999999999999995"/>
    <n v="0.43000000000000005"/>
  </r>
  <r>
    <s v="EMP-056"/>
    <x v="7"/>
    <x v="5"/>
    <n v="35"/>
    <n v="54"/>
    <n v="26"/>
    <n v="51"/>
    <n v="77"/>
    <n v="243"/>
    <n v="500"/>
    <n v="0.48599999999999999"/>
    <n v="0.51400000000000001"/>
  </r>
  <r>
    <s v="EMP-057"/>
    <x v="8"/>
    <x v="6"/>
    <n v="74"/>
    <n v="30"/>
    <n v="60"/>
    <n v="48"/>
    <n v="79"/>
    <n v="291"/>
    <n v="500"/>
    <n v="0.58199999999999996"/>
    <n v="0.41800000000000004"/>
  </r>
  <r>
    <s v="EMP-058"/>
    <x v="9"/>
    <x v="7"/>
    <n v="59"/>
    <n v="42"/>
    <n v="51"/>
    <n v="41"/>
    <n v="59"/>
    <n v="252"/>
    <n v="500"/>
    <n v="0.504"/>
    <n v="0.496"/>
  </r>
  <r>
    <s v="EMP-059"/>
    <x v="10"/>
    <x v="8"/>
    <n v="24"/>
    <n v="37"/>
    <n v="13"/>
    <n v="38"/>
    <n v="75"/>
    <n v="187"/>
    <n v="500"/>
    <n v="0.374"/>
    <n v="0.626"/>
  </r>
  <r>
    <s v="EMP-060"/>
    <x v="11"/>
    <x v="9"/>
    <n v="81"/>
    <n v="18"/>
    <n v="66"/>
    <n v="48"/>
    <n v="40"/>
    <n v="253"/>
    <n v="500"/>
    <n v="0.50600000000000001"/>
    <n v="0.49399999999999999"/>
  </r>
  <r>
    <s v="EMP-061"/>
    <x v="0"/>
    <x v="0"/>
    <n v="59"/>
    <n v="28"/>
    <n v="39"/>
    <n v="46"/>
    <n v="39"/>
    <n v="211"/>
    <n v="500"/>
    <n v="0.42199999999999999"/>
    <n v="0.57800000000000007"/>
  </r>
  <r>
    <s v="EMP-062"/>
    <x v="1"/>
    <x v="1"/>
    <n v="53"/>
    <n v="48"/>
    <n v="76"/>
    <n v="60"/>
    <n v="94"/>
    <n v="331"/>
    <n v="500"/>
    <n v="0.66200000000000003"/>
    <n v="0.33799999999999997"/>
  </r>
  <r>
    <s v="EMP-063"/>
    <x v="2"/>
    <x v="2"/>
    <n v="82"/>
    <n v="46"/>
    <n v="63"/>
    <n v="56"/>
    <n v="89"/>
    <n v="336"/>
    <n v="500"/>
    <n v="0.67200000000000004"/>
    <n v="0.32799999999999996"/>
  </r>
  <r>
    <s v="EMP-064"/>
    <x v="3"/>
    <x v="3"/>
    <n v="97"/>
    <n v="61"/>
    <n v="53"/>
    <n v="50"/>
    <n v="46"/>
    <n v="307"/>
    <n v="500"/>
    <n v="0.61399999999999999"/>
    <n v="0.38600000000000001"/>
  </r>
  <r>
    <s v="EMP-065"/>
    <x v="4"/>
    <x v="4"/>
    <n v="54"/>
    <n v="19"/>
    <n v="31"/>
    <n v="23"/>
    <n v="28"/>
    <n v="155"/>
    <n v="500"/>
    <n v="0.31"/>
    <n v="0.69"/>
  </r>
  <r>
    <s v="EMP-066"/>
    <x v="5"/>
    <x v="5"/>
    <n v="74"/>
    <n v="25"/>
    <n v="21"/>
    <n v="52"/>
    <n v="64"/>
    <n v="236"/>
    <n v="500"/>
    <n v="0.47199999999999998"/>
    <n v="0.52800000000000002"/>
  </r>
  <r>
    <s v="EMP-067"/>
    <x v="6"/>
    <x v="6"/>
    <n v="81"/>
    <n v="37"/>
    <n v="54"/>
    <n v="41"/>
    <n v="70"/>
    <n v="283"/>
    <n v="500"/>
    <n v="0.56599999999999995"/>
    <n v="0.43400000000000005"/>
  </r>
  <r>
    <s v="EMP-068"/>
    <x v="7"/>
    <x v="7"/>
    <n v="58"/>
    <n v="12"/>
    <n v="36"/>
    <n v="65"/>
    <n v="37"/>
    <n v="208"/>
    <n v="500"/>
    <n v="0.41599999999999998"/>
    <n v="0.58400000000000007"/>
  </r>
  <r>
    <s v="EMP-069"/>
    <x v="8"/>
    <x v="8"/>
    <n v="69"/>
    <n v="18"/>
    <n v="45"/>
    <n v="62"/>
    <n v="42"/>
    <n v="236"/>
    <n v="500"/>
    <n v="0.47199999999999998"/>
    <n v="0.52800000000000002"/>
  </r>
  <r>
    <s v="EMP-070"/>
    <x v="9"/>
    <x v="9"/>
    <n v="46"/>
    <n v="45"/>
    <n v="34"/>
    <n v="42"/>
    <n v="50"/>
    <n v="217"/>
    <n v="500"/>
    <n v="0.434"/>
    <n v="0.56600000000000006"/>
  </r>
  <r>
    <s v="EMP-071"/>
    <x v="10"/>
    <x v="0"/>
    <n v="57"/>
    <n v="65"/>
    <n v="61"/>
    <n v="64"/>
    <n v="76"/>
    <n v="323"/>
    <n v="500"/>
    <n v="0.64600000000000002"/>
    <n v="0.35399999999999998"/>
  </r>
  <r>
    <s v="EMP-072"/>
    <x v="11"/>
    <x v="1"/>
    <n v="83"/>
    <n v="29"/>
    <n v="49"/>
    <n v="61"/>
    <n v="88"/>
    <n v="310"/>
    <n v="500"/>
    <n v="0.62"/>
    <n v="0.38"/>
  </r>
  <r>
    <s v="EMP-073"/>
    <x v="0"/>
    <x v="2"/>
    <n v="57"/>
    <n v="26"/>
    <n v="73"/>
    <n v="64"/>
    <n v="93"/>
    <n v="313"/>
    <n v="500"/>
    <n v="0.626"/>
    <n v="0.374"/>
  </r>
  <r>
    <s v="EMP-074"/>
    <x v="1"/>
    <x v="3"/>
    <n v="35"/>
    <n v="32"/>
    <n v="12"/>
    <n v="63"/>
    <n v="83"/>
    <n v="225"/>
    <n v="500"/>
    <n v="0.45"/>
    <n v="0.55000000000000004"/>
  </r>
  <r>
    <s v="EMP-075"/>
    <x v="2"/>
    <x v="4"/>
    <n v="74"/>
    <n v="17"/>
    <n v="18"/>
    <n v="59"/>
    <n v="63"/>
    <n v="231"/>
    <n v="500"/>
    <n v="0.46200000000000002"/>
    <n v="0.53800000000000003"/>
  </r>
  <r>
    <s v="EMP-076"/>
    <x v="3"/>
    <x v="5"/>
    <n v="67"/>
    <n v="19"/>
    <n v="43"/>
    <n v="30"/>
    <n v="94"/>
    <n v="253"/>
    <n v="500"/>
    <n v="0.50600000000000001"/>
    <n v="0.49399999999999999"/>
  </r>
  <r>
    <s v="EMP-077"/>
    <x v="4"/>
    <x v="6"/>
    <n v="87"/>
    <n v="37"/>
    <n v="43"/>
    <n v="41"/>
    <n v="24"/>
    <n v="232"/>
    <n v="500"/>
    <n v="0.46400000000000002"/>
    <n v="0.53600000000000003"/>
  </r>
  <r>
    <s v="EMP-078"/>
    <x v="5"/>
    <x v="7"/>
    <n v="23"/>
    <n v="51"/>
    <n v="21"/>
    <n v="22"/>
    <n v="49"/>
    <n v="166"/>
    <n v="500"/>
    <n v="0.33200000000000002"/>
    <n v="0.66799999999999993"/>
  </r>
  <r>
    <s v="EMP-079"/>
    <x v="6"/>
    <x v="8"/>
    <n v="38"/>
    <n v="36"/>
    <n v="65"/>
    <n v="37"/>
    <n v="24"/>
    <n v="200"/>
    <n v="500"/>
    <n v="0.4"/>
    <n v="0.6"/>
  </r>
  <r>
    <s v="EMP-080"/>
    <x v="7"/>
    <x v="9"/>
    <n v="47"/>
    <n v="38"/>
    <n v="33"/>
    <n v="53"/>
    <n v="60"/>
    <n v="231"/>
    <n v="500"/>
    <n v="0.46200000000000002"/>
    <n v="0.53800000000000003"/>
  </r>
  <r>
    <s v="EMP-081"/>
    <x v="8"/>
    <x v="0"/>
    <n v="32"/>
    <n v="15"/>
    <n v="61"/>
    <n v="63"/>
    <n v="52"/>
    <n v="223"/>
    <n v="500"/>
    <n v="0.44600000000000001"/>
    <n v="0.55400000000000005"/>
  </r>
  <r>
    <s v="EMP-082"/>
    <x v="9"/>
    <x v="1"/>
    <n v="98"/>
    <n v="63"/>
    <n v="19"/>
    <n v="64"/>
    <n v="57"/>
    <n v="301"/>
    <n v="500"/>
    <n v="0.60199999999999998"/>
    <n v="0.39800000000000002"/>
  </r>
  <r>
    <s v="EMP-083"/>
    <x v="10"/>
    <x v="2"/>
    <n v="41"/>
    <n v="65"/>
    <n v="18"/>
    <n v="45"/>
    <n v="54"/>
    <n v="223"/>
    <n v="500"/>
    <n v="0.44600000000000001"/>
    <n v="0.55400000000000005"/>
  </r>
  <r>
    <s v="EMP-084"/>
    <x v="11"/>
    <x v="3"/>
    <n v="77"/>
    <n v="24"/>
    <n v="54"/>
    <n v="60"/>
    <n v="93"/>
    <n v="308"/>
    <n v="500"/>
    <n v="0.61599999999999999"/>
    <n v="0.38400000000000001"/>
  </r>
  <r>
    <s v="EMP-085"/>
    <x v="0"/>
    <x v="4"/>
    <n v="38"/>
    <n v="23"/>
    <n v="64"/>
    <n v="32"/>
    <n v="53"/>
    <n v="210"/>
    <n v="500"/>
    <n v="0.42"/>
    <n v="0.58000000000000007"/>
  </r>
  <r>
    <s v="EMP-086"/>
    <x v="1"/>
    <x v="5"/>
    <n v="31"/>
    <n v="47"/>
    <n v="16"/>
    <n v="33"/>
    <n v="33"/>
    <n v="160"/>
    <n v="500"/>
    <n v="0.32"/>
    <n v="0.67999999999999994"/>
  </r>
  <r>
    <s v="EMP-087"/>
    <x v="2"/>
    <x v="6"/>
    <n v="62"/>
    <n v="61"/>
    <n v="64"/>
    <n v="54"/>
    <n v="59"/>
    <n v="300"/>
    <n v="500"/>
    <n v="0.6"/>
    <n v="0.4"/>
  </r>
  <r>
    <s v="EMP-088"/>
    <x v="3"/>
    <x v="7"/>
    <n v="35"/>
    <n v="51"/>
    <n v="36"/>
    <n v="22"/>
    <n v="94"/>
    <n v="238"/>
    <n v="500"/>
    <n v="0.47599999999999998"/>
    <n v="0.52400000000000002"/>
  </r>
  <r>
    <s v="EMP-089"/>
    <x v="4"/>
    <x v="8"/>
    <n v="24"/>
    <n v="20"/>
    <n v="13"/>
    <n v="45"/>
    <n v="78"/>
    <n v="180"/>
    <n v="500"/>
    <n v="0.36"/>
    <n v="0.64"/>
  </r>
  <r>
    <s v="EMP-090"/>
    <x v="5"/>
    <x v="9"/>
    <n v="71"/>
    <n v="55"/>
    <n v="48"/>
    <n v="45"/>
    <n v="48"/>
    <n v="267"/>
    <n v="500"/>
    <n v="0.53400000000000003"/>
    <n v="0.46599999999999997"/>
  </r>
  <r>
    <s v="EMP-091"/>
    <x v="6"/>
    <x v="0"/>
    <n v="92"/>
    <n v="35"/>
    <n v="41"/>
    <n v="41"/>
    <n v="38"/>
    <n v="247"/>
    <n v="500"/>
    <n v="0.49399999999999999"/>
    <n v="0.50600000000000001"/>
  </r>
  <r>
    <s v="EMP-092"/>
    <x v="7"/>
    <x v="1"/>
    <n v="97"/>
    <n v="46"/>
    <n v="26"/>
    <n v="50"/>
    <n v="24"/>
    <n v="243"/>
    <n v="500"/>
    <n v="0.48599999999999999"/>
    <n v="0.51400000000000001"/>
  </r>
  <r>
    <s v="EMP-093"/>
    <x v="8"/>
    <x v="2"/>
    <n v="72"/>
    <n v="23"/>
    <n v="42"/>
    <n v="50"/>
    <n v="68"/>
    <n v="255"/>
    <n v="500"/>
    <n v="0.51"/>
    <n v="0.49"/>
  </r>
  <r>
    <s v="EMP-094"/>
    <x v="9"/>
    <x v="3"/>
    <n v="44"/>
    <n v="47"/>
    <n v="27"/>
    <n v="36"/>
    <n v="58"/>
    <n v="212"/>
    <n v="500"/>
    <n v="0.42399999999999999"/>
    <n v="0.57600000000000007"/>
  </r>
  <r>
    <s v="EMP-095"/>
    <x v="10"/>
    <x v="4"/>
    <n v="25"/>
    <n v="48"/>
    <n v="70"/>
    <n v="49"/>
    <n v="55"/>
    <n v="247"/>
    <n v="500"/>
    <n v="0.49399999999999999"/>
    <n v="0.50600000000000001"/>
  </r>
  <r>
    <s v="EMP-096"/>
    <x v="11"/>
    <x v="5"/>
    <n v="34"/>
    <n v="21"/>
    <n v="33"/>
    <n v="29"/>
    <n v="78"/>
    <n v="195"/>
    <n v="500"/>
    <n v="0.39"/>
    <n v="0.61"/>
  </r>
  <r>
    <s v="EMP-097"/>
    <x v="0"/>
    <x v="6"/>
    <n v="22"/>
    <n v="25"/>
    <n v="31"/>
    <n v="54"/>
    <n v="95"/>
    <n v="227"/>
    <n v="500"/>
    <n v="0.45400000000000001"/>
    <n v="0.54600000000000004"/>
  </r>
  <r>
    <s v="EMP-098"/>
    <x v="1"/>
    <x v="7"/>
    <n v="80"/>
    <n v="29"/>
    <n v="27"/>
    <n v="42"/>
    <n v="80"/>
    <n v="258"/>
    <n v="500"/>
    <n v="0.51600000000000001"/>
    <n v="0.48399999999999999"/>
  </r>
  <r>
    <s v="EMP-099"/>
    <x v="2"/>
    <x v="8"/>
    <n v="39"/>
    <n v="64"/>
    <n v="70"/>
    <n v="38"/>
    <n v="65"/>
    <n v="276"/>
    <n v="500"/>
    <n v="0.55200000000000005"/>
    <n v="0.44799999999999995"/>
  </r>
  <r>
    <s v="EMP-100"/>
    <x v="3"/>
    <x v="9"/>
    <n v="59"/>
    <n v="27"/>
    <n v="53"/>
    <n v="39"/>
    <n v="30"/>
    <n v="208"/>
    <n v="500"/>
    <n v="0.41599999999999998"/>
    <n v="0.584000000000000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D84CB-2170-494F-B01C-23BD93862F1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A3:B8" firstHeaderRow="1" firstDataRow="1" firstDataCol="1"/>
  <pivotFields count="12">
    <pivotField showAll="0"/>
    <pivotField axis="axisRow" showAll="0" measureFilter="1">
      <items count="13">
        <item x="5"/>
        <item x="10"/>
        <item x="11"/>
        <item x="2"/>
        <item x="6"/>
        <item x="3"/>
        <item x="7"/>
        <item x="8"/>
        <item x="0"/>
        <item x="1"/>
        <item x="9"/>
        <item x="4"/>
        <item t="default"/>
      </items>
    </pivotField>
    <pivotField showAll="0">
      <items count="11">
        <item h="1" x="9"/>
        <item h="1" x="2"/>
        <item h="1" x="3"/>
        <item x="0"/>
        <item h="1" x="1"/>
        <item h="1" x="4"/>
        <item h="1" x="7"/>
        <item h="1" x="6"/>
        <item h="1" x="5"/>
        <item h="1" x="8"/>
        <item t="default"/>
      </items>
    </pivotField>
    <pivotField showAll="0"/>
    <pivotField showAll="0"/>
    <pivotField showAll="0"/>
    <pivotField showAll="0"/>
    <pivotField showAll="0"/>
    <pivotField dataField="1" showAll="0"/>
    <pivotField showAll="0"/>
    <pivotField showAll="0"/>
    <pivotField numFmtId="10" showAll="0"/>
  </pivotFields>
  <rowFields count="1">
    <field x="1"/>
  </rowFields>
  <rowItems count="5">
    <i>
      <x v="3"/>
    </i>
    <i>
      <x v="5"/>
    </i>
    <i>
      <x v="8"/>
    </i>
    <i>
      <x v="9"/>
    </i>
    <i>
      <x v="10"/>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4D9298-1590-4C8D-ABF5-ED247C817BB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location ref="J3:K8" firstHeaderRow="1" firstDataRow="1" firstDataCol="1"/>
  <pivotFields count="12">
    <pivotField showAll="0"/>
    <pivotField axis="axisRow" showAll="0" measureFilter="1">
      <items count="13">
        <item x="5"/>
        <item x="10"/>
        <item x="11"/>
        <item x="2"/>
        <item x="6"/>
        <item x="3"/>
        <item x="7"/>
        <item x="8"/>
        <item x="0"/>
        <item x="1"/>
        <item x="9"/>
        <item x="4"/>
        <item t="default"/>
      </items>
    </pivotField>
    <pivotField showAll="0">
      <items count="11">
        <item h="1" x="9"/>
        <item x="2"/>
        <item h="1" x="3"/>
        <item h="1" x="0"/>
        <item h="1" x="1"/>
        <item h="1" x="4"/>
        <item h="1" x="7"/>
        <item h="1" x="6"/>
        <item h="1" x="5"/>
        <item h="1" x="8"/>
        <item t="default"/>
      </items>
    </pivotField>
    <pivotField showAll="0"/>
    <pivotField showAll="0"/>
    <pivotField showAll="0"/>
    <pivotField showAll="0"/>
    <pivotField showAll="0"/>
    <pivotField showAll="0"/>
    <pivotField showAll="0"/>
    <pivotField dataField="1" showAll="0"/>
    <pivotField numFmtId="10" showAll="0"/>
  </pivotFields>
  <rowFields count="1">
    <field x="1"/>
  </rowFields>
  <rowItems count="5">
    <i>
      <x v="3"/>
    </i>
    <i>
      <x v="5"/>
    </i>
    <i>
      <x v="8"/>
    </i>
    <i>
      <x v="9"/>
    </i>
    <i>
      <x v="10"/>
    </i>
  </rowItems>
  <colItems count="1">
    <i/>
  </colItems>
  <dataFields count="1">
    <dataField name="AWAY FROM TARGET HIT% WISE" fld="10" baseField="1" baseItem="5" numFmtId="164"/>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EA5E95-C0D0-4E7D-AA6B-6DE503EFA96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4">
  <location ref="G3:H8" firstHeaderRow="1" firstDataRow="1" firstDataCol="1"/>
  <pivotFields count="12">
    <pivotField showAll="0"/>
    <pivotField axis="axisRow" showAll="0" measureFilter="1">
      <items count="13">
        <item x="5"/>
        <item x="10"/>
        <item x="11"/>
        <item x="2"/>
        <item x="6"/>
        <item x="3"/>
        <item x="7"/>
        <item x="8"/>
        <item x="0"/>
        <item x="1"/>
        <item x="9"/>
        <item x="4"/>
        <item t="default"/>
      </items>
    </pivotField>
    <pivotField showAll="0">
      <items count="11">
        <item h="1" x="9"/>
        <item x="2"/>
        <item h="1" x="3"/>
        <item h="1" x="0"/>
        <item h="1" x="1"/>
        <item h="1" x="4"/>
        <item h="1" x="7"/>
        <item h="1" x="6"/>
        <item h="1" x="5"/>
        <item h="1" x="8"/>
        <item t="default"/>
      </items>
    </pivotField>
    <pivotField showAll="0"/>
    <pivotField showAll="0"/>
    <pivotField showAll="0"/>
    <pivotField showAll="0"/>
    <pivotField showAll="0"/>
    <pivotField showAll="0"/>
    <pivotField showAll="0"/>
    <pivotField dataField="1" showAll="0"/>
    <pivotField numFmtId="10" showAll="0"/>
  </pivotFields>
  <rowFields count="1">
    <field x="1"/>
  </rowFields>
  <rowItems count="5">
    <i>
      <x v="3"/>
    </i>
    <i>
      <x v="5"/>
    </i>
    <i>
      <x v="8"/>
    </i>
    <i>
      <x v="9"/>
    </i>
    <i>
      <x v="10"/>
    </i>
  </rowItems>
  <colItems count="1">
    <i/>
  </colItems>
  <dataFields count="1">
    <dataField name=" TARGET HIT% WISE" fld="10" baseField="1" baseItem="3" numFmtId="164"/>
  </dataFields>
  <chartFormats count="11">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0"/>
          </reference>
        </references>
      </pivotArea>
    </chartFormat>
    <chartFormat chart="2" format="2">
      <pivotArea type="data" outline="0" fieldPosition="0">
        <references count="2">
          <reference field="4294967294" count="1" selected="0">
            <x v="0"/>
          </reference>
          <reference field="1" count="1" selected="0">
            <x v="5"/>
          </reference>
        </references>
      </pivotArea>
    </chartFormat>
    <chartFormat chart="2" format="3">
      <pivotArea type="data" outline="0" fieldPosition="0">
        <references count="2">
          <reference field="4294967294" count="1" selected="0">
            <x v="0"/>
          </reference>
          <reference field="1" count="1" selected="0">
            <x v="6"/>
          </reference>
        </references>
      </pivotArea>
    </chartFormat>
    <chartFormat chart="2" format="4">
      <pivotArea type="data" outline="0" fieldPosition="0">
        <references count="2">
          <reference field="4294967294" count="1" selected="0">
            <x v="0"/>
          </reference>
          <reference field="1" count="1" selected="0">
            <x v="9"/>
          </reference>
        </references>
      </pivotArea>
    </chartFormat>
    <chartFormat chart="2" format="5">
      <pivotArea type="data" outline="0" fieldPosition="0">
        <references count="2">
          <reference field="4294967294" count="1" selected="0">
            <x v="0"/>
          </reference>
          <reference field="1" count="1" selected="0">
            <x v="10"/>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0"/>
          </reference>
          <reference field="1" count="1" selected="0">
            <x v="3"/>
          </reference>
        </references>
      </pivotArea>
    </chartFormat>
    <chartFormat chart="2" format="8">
      <pivotArea type="data" outline="0" fieldPosition="0">
        <references count="2">
          <reference field="4294967294" count="1" selected="0">
            <x v="0"/>
          </reference>
          <reference field="1" count="1" selected="0">
            <x v="7"/>
          </reference>
        </references>
      </pivotArea>
    </chartFormat>
    <chartFormat chart="2" format="9">
      <pivotArea type="data" outline="0" fieldPosition="0">
        <references count="2">
          <reference field="4294967294" count="1" selected="0">
            <x v="0"/>
          </reference>
          <reference field="1" count="1" selected="0">
            <x v="8"/>
          </reference>
        </references>
      </pivotArea>
    </chartFormat>
    <chartFormat chart="2" format="10">
      <pivotArea type="data" outline="0" fieldPosition="0">
        <references count="2">
          <reference field="4294967294" count="1" selected="0">
            <x v="0"/>
          </reference>
          <reference field="1" count="1" selected="0">
            <x v="11"/>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4EFCA2-0BAD-4A29-B04C-119A0383AD4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3:E8" firstHeaderRow="1" firstDataRow="1" firstDataCol="1"/>
  <pivotFields count="12">
    <pivotField showAll="0"/>
    <pivotField axis="axisRow" showAll="0" measureFilter="1">
      <items count="13">
        <item x="5"/>
        <item x="10"/>
        <item x="11"/>
        <item x="2"/>
        <item x="6"/>
        <item x="3"/>
        <item x="7"/>
        <item x="8"/>
        <item x="0"/>
        <item x="1"/>
        <item x="9"/>
        <item x="4"/>
        <item t="default"/>
      </items>
    </pivotField>
    <pivotField showAll="0">
      <items count="11">
        <item h="1" x="9"/>
        <item x="2"/>
        <item h="1" x="3"/>
        <item h="1" x="0"/>
        <item h="1" x="1"/>
        <item h="1" x="4"/>
        <item h="1" x="7"/>
        <item h="1" x="6"/>
        <item h="1" x="5"/>
        <item h="1" x="8"/>
        <item t="default"/>
      </items>
    </pivotField>
    <pivotField showAll="0"/>
    <pivotField showAll="0"/>
    <pivotField showAll="0"/>
    <pivotField showAll="0"/>
    <pivotField showAll="0"/>
    <pivotField dataField="1" showAll="0"/>
    <pivotField showAll="0"/>
    <pivotField showAll="0"/>
    <pivotField numFmtId="10" showAll="0"/>
  </pivotFields>
  <rowFields count="1">
    <field x="1"/>
  </rowFields>
  <rowItems count="5">
    <i>
      <x/>
    </i>
    <i>
      <x v="1"/>
    </i>
    <i>
      <x v="2"/>
    </i>
    <i>
      <x v="6"/>
    </i>
    <i>
      <x v="11"/>
    </i>
  </rowItems>
  <colItems count="1">
    <i/>
  </colItems>
  <dataFields count="1">
    <dataField name=" TOTAL SALES" fld="8" baseField="1" baseItem="3"/>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165B95-2D13-4BB0-AE01-A790AA888497}" sourceName="REGION">
  <data>
    <tabular pivotCacheId="1070838340">
      <items count="10">
        <i x="9"/>
        <i x="2"/>
        <i x="3"/>
        <i x="0"/>
        <i x="1"/>
        <i x="4" s="1"/>
        <i x="7"/>
        <i x="6"/>
        <i x="5"/>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BF639A7-C736-4E6C-8DF3-8DB8A4EA17E8}" cache="Slicer_REGION" caption="REGION" columnCount="10"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B36DC-1A70-47A2-91DA-4E50973EFCC2}">
  <sheetPr codeName="Sheet1"/>
  <dimension ref="A1:K26"/>
  <sheetViews>
    <sheetView tabSelected="1" workbookViewId="0">
      <selection activeCell="J5" sqref="J5:K5"/>
      <pivotSelection pane="bottomRight" showHeader="1" extendable="1" axis="axisRow" start="1" max="5" activeRow="4" activeCol="9" previousRow="4" previousCol="9" click="1" r:id="rId2">
        <pivotArea dataOnly="0" fieldPosition="0">
          <references count="1">
            <reference field="1" count="1">
              <x v="5"/>
            </reference>
          </references>
        </pivotArea>
      </pivotSelection>
    </sheetView>
  </sheetViews>
  <sheetFormatPr defaultRowHeight="15" x14ac:dyDescent="0.25"/>
  <cols>
    <col min="1" max="1" width="18.28515625" bestFit="1" customWidth="1"/>
    <col min="2" max="2" width="18.7109375" bestFit="1" customWidth="1"/>
    <col min="3" max="3" width="3.5703125" customWidth="1"/>
    <col min="4" max="4" width="18.28515625" bestFit="1" customWidth="1"/>
    <col min="5" max="5" width="18.7109375" bestFit="1" customWidth="1"/>
    <col min="6" max="6" width="3.28515625" customWidth="1"/>
    <col min="7" max="7" width="15" bestFit="1" customWidth="1"/>
    <col min="8" max="8" width="18.85546875" bestFit="1" customWidth="1"/>
    <col min="9" max="9" width="3.42578125" customWidth="1"/>
    <col min="10" max="10" width="15" bestFit="1" customWidth="1"/>
    <col min="11" max="11" width="18.42578125" bestFit="1" customWidth="1"/>
  </cols>
  <sheetData>
    <row r="1" spans="1:11" x14ac:dyDescent="0.25">
      <c r="A1" s="6"/>
      <c r="B1" s="6"/>
      <c r="C1" s="6"/>
      <c r="D1" s="6"/>
      <c r="E1" s="6"/>
      <c r="F1" s="6"/>
      <c r="G1" s="6"/>
      <c r="H1" s="6"/>
      <c r="I1" s="6"/>
      <c r="J1" s="6"/>
      <c r="K1" s="6"/>
    </row>
    <row r="2" spans="1:11" ht="90" customHeight="1" x14ac:dyDescent="0.25">
      <c r="A2" s="6" t="b">
        <v>1</v>
      </c>
      <c r="B2" s="6"/>
      <c r="C2" s="6"/>
      <c r="D2" s="6" t="b">
        <v>0</v>
      </c>
      <c r="E2" s="6"/>
      <c r="F2" s="6"/>
      <c r="G2" s="6" t="b">
        <v>1</v>
      </c>
      <c r="H2" s="6"/>
      <c r="I2" s="6"/>
      <c r="J2" s="6" t="b">
        <v>0</v>
      </c>
      <c r="K2" s="6"/>
    </row>
    <row r="3" spans="1:11" x14ac:dyDescent="0.25">
      <c r="A3" s="3" t="s">
        <v>1</v>
      </c>
      <c r="B3" t="s">
        <v>135</v>
      </c>
      <c r="C3" s="6"/>
      <c r="D3" s="3" t="s">
        <v>1</v>
      </c>
      <c r="E3" t="s">
        <v>135</v>
      </c>
      <c r="F3" s="6"/>
      <c r="G3" s="3" t="s">
        <v>134</v>
      </c>
      <c r="H3" t="s">
        <v>137</v>
      </c>
      <c r="I3" s="6"/>
      <c r="J3" s="3" t="s">
        <v>134</v>
      </c>
      <c r="K3" t="s">
        <v>136</v>
      </c>
    </row>
    <row r="4" spans="1:11" x14ac:dyDescent="0.25">
      <c r="A4" s="4" t="s">
        <v>113</v>
      </c>
      <c r="B4">
        <v>2327</v>
      </c>
      <c r="C4" s="6"/>
      <c r="D4" s="4" t="s">
        <v>116</v>
      </c>
      <c r="E4" s="7">
        <v>1789</v>
      </c>
      <c r="F4" s="6"/>
      <c r="G4" s="4" t="s">
        <v>113</v>
      </c>
      <c r="H4" s="5">
        <v>4.6539999999999999</v>
      </c>
      <c r="I4" s="6"/>
      <c r="J4" s="4" t="s">
        <v>113</v>
      </c>
      <c r="K4" s="5">
        <v>4.6539999999999999</v>
      </c>
    </row>
    <row r="5" spans="1:11" x14ac:dyDescent="0.25">
      <c r="A5" s="4" t="s">
        <v>114</v>
      </c>
      <c r="B5">
        <v>2210</v>
      </c>
      <c r="C5" s="6"/>
      <c r="D5" s="4" t="s">
        <v>121</v>
      </c>
      <c r="E5" s="7">
        <v>1816</v>
      </c>
      <c r="F5" s="6"/>
      <c r="G5" s="4" t="s">
        <v>114</v>
      </c>
      <c r="H5" s="5">
        <v>4.42</v>
      </c>
      <c r="I5" s="6"/>
      <c r="J5" s="4" t="s">
        <v>114</v>
      </c>
      <c r="K5" s="5">
        <v>4.42</v>
      </c>
    </row>
    <row r="6" spans="1:11" x14ac:dyDescent="0.25">
      <c r="A6" s="4" t="s">
        <v>111</v>
      </c>
      <c r="B6">
        <v>2160</v>
      </c>
      <c r="C6" s="6"/>
      <c r="D6" s="4" t="s">
        <v>122</v>
      </c>
      <c r="E6" s="7">
        <v>1994</v>
      </c>
      <c r="F6" s="6"/>
      <c r="G6" s="4" t="s">
        <v>111</v>
      </c>
      <c r="H6" s="5">
        <v>4.32</v>
      </c>
      <c r="I6" s="6"/>
      <c r="J6" s="4" t="s">
        <v>111</v>
      </c>
      <c r="K6" s="5">
        <v>4.32</v>
      </c>
    </row>
    <row r="7" spans="1:11" x14ac:dyDescent="0.25">
      <c r="A7" s="4" t="s">
        <v>112</v>
      </c>
      <c r="B7">
        <v>2273</v>
      </c>
      <c r="C7" s="6"/>
      <c r="D7" s="4" t="s">
        <v>118</v>
      </c>
      <c r="E7" s="7">
        <v>1881</v>
      </c>
      <c r="F7" s="6"/>
      <c r="G7" s="4" t="s">
        <v>112</v>
      </c>
      <c r="H7" s="5">
        <v>4.5460000000000003</v>
      </c>
      <c r="I7" s="6"/>
      <c r="J7" s="4" t="s">
        <v>112</v>
      </c>
      <c r="K7" s="5">
        <v>4.5460000000000003</v>
      </c>
    </row>
    <row r="8" spans="1:11" x14ac:dyDescent="0.25">
      <c r="A8" s="4" t="s">
        <v>120</v>
      </c>
      <c r="B8">
        <v>2028</v>
      </c>
      <c r="C8" s="6"/>
      <c r="D8" s="4" t="s">
        <v>115</v>
      </c>
      <c r="E8" s="7">
        <v>1874</v>
      </c>
      <c r="F8" s="6"/>
      <c r="G8" s="4" t="s">
        <v>120</v>
      </c>
      <c r="H8" s="5">
        <v>4.056</v>
      </c>
      <c r="I8" s="6"/>
      <c r="J8" s="4" t="s">
        <v>120</v>
      </c>
      <c r="K8" s="5">
        <v>4.056</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552450</xdr:colOff>
                    <xdr:row>1</xdr:row>
                    <xdr:rowOff>533400</xdr:rowOff>
                  </from>
                  <to>
                    <xdr:col>1</xdr:col>
                    <xdr:colOff>47625</xdr:colOff>
                    <xdr:row>1</xdr:row>
                    <xdr:rowOff>742950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695325</xdr:colOff>
                    <xdr:row>1</xdr:row>
                    <xdr:rowOff>514350</xdr:rowOff>
                  </from>
                  <to>
                    <xdr:col>4</xdr:col>
                    <xdr:colOff>180975</xdr:colOff>
                    <xdr:row>1</xdr:row>
                    <xdr:rowOff>733425</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533400</xdr:colOff>
                    <xdr:row>1</xdr:row>
                    <xdr:rowOff>514350</xdr:rowOff>
                  </from>
                  <to>
                    <xdr:col>7</xdr:col>
                    <xdr:colOff>247650</xdr:colOff>
                    <xdr:row>1</xdr:row>
                    <xdr:rowOff>723900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581025</xdr:colOff>
                    <xdr:row>1</xdr:row>
                    <xdr:rowOff>476250</xdr:rowOff>
                  </from>
                  <to>
                    <xdr:col>10</xdr:col>
                    <xdr:colOff>285750</xdr:colOff>
                    <xdr:row>1</xdr:row>
                    <xdr:rowOff>695325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19CA-E490-434F-A9A4-FB96C4BD8C0C}">
  <sheetPr codeName="Sheet2"/>
  <dimension ref="A1:L101"/>
  <sheetViews>
    <sheetView workbookViewId="0">
      <selection activeCell="C1" sqref="C1:C1048576"/>
    </sheetView>
  </sheetViews>
  <sheetFormatPr defaultRowHeight="15" x14ac:dyDescent="0.25"/>
  <cols>
    <col min="1" max="1" width="9.7109375" bestFit="1" customWidth="1"/>
    <col min="2" max="2" width="15.42578125" bestFit="1" customWidth="1"/>
    <col min="9" max="9" width="11.5703125" bestFit="1" customWidth="1"/>
    <col min="11" max="11" width="12.140625" bestFit="1" customWidth="1"/>
    <col min="12" max="12" width="23.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133</v>
      </c>
    </row>
    <row r="2" spans="1:12" x14ac:dyDescent="0.25">
      <c r="A2" t="s">
        <v>11</v>
      </c>
      <c r="B2" t="s">
        <v>111</v>
      </c>
      <c r="C2" t="s">
        <v>123</v>
      </c>
      <c r="D2">
        <f ca="1">RANDBETWEEN(22,99)</f>
        <v>87</v>
      </c>
      <c r="E2">
        <f ca="1">RANDBETWEEN(12,66)</f>
        <v>36</v>
      </c>
      <c r="F2">
        <f ca="1">RANDBETWEEN(12,77)</f>
        <v>76</v>
      </c>
      <c r="G2">
        <f ca="1">RANDBETWEEN(22,66)</f>
        <v>60</v>
      </c>
      <c r="H2">
        <f ca="1">RANDBETWEEN(23,99)</f>
        <v>69</v>
      </c>
      <c r="I2">
        <f ca="1">D2+E2+F2+G2+H2</f>
        <v>328</v>
      </c>
      <c r="J2">
        <v>500</v>
      </c>
      <c r="K2" s="2">
        <f ca="1">I2/J2</f>
        <v>0.65600000000000003</v>
      </c>
      <c r="L2" s="2">
        <f ca="1">100%-K2</f>
        <v>0.34399999999999997</v>
      </c>
    </row>
    <row r="3" spans="1:12" x14ac:dyDescent="0.25">
      <c r="A3" t="s">
        <v>12</v>
      </c>
      <c r="B3" t="s">
        <v>112</v>
      </c>
      <c r="C3" t="s">
        <v>124</v>
      </c>
      <c r="D3">
        <f t="shared" ref="D3:D66" ca="1" si="0">RANDBETWEEN(22,99)</f>
        <v>66</v>
      </c>
      <c r="E3">
        <f t="shared" ref="E3:E66" ca="1" si="1">RANDBETWEEN(12,66)</f>
        <v>32</v>
      </c>
      <c r="F3">
        <f t="shared" ref="F3:F66" ca="1" si="2">RANDBETWEEN(12,77)</f>
        <v>29</v>
      </c>
      <c r="G3">
        <f t="shared" ref="G3:G66" ca="1" si="3">RANDBETWEEN(22,66)</f>
        <v>51</v>
      </c>
      <c r="H3">
        <f t="shared" ref="H3:H66" ca="1" si="4">RANDBETWEEN(23,99)</f>
        <v>37</v>
      </c>
      <c r="I3">
        <f t="shared" ref="I3:I66" ca="1" si="5">D3+E3+F3+G3+H3</f>
        <v>215</v>
      </c>
      <c r="J3">
        <v>500</v>
      </c>
      <c r="K3">
        <f t="shared" ref="K3:K66" ca="1" si="6">I3/J3</f>
        <v>0.43</v>
      </c>
      <c r="L3" s="2">
        <f t="shared" ref="L3:L66" ca="1" si="7">100%-K3</f>
        <v>0.57000000000000006</v>
      </c>
    </row>
    <row r="4" spans="1:12" x14ac:dyDescent="0.25">
      <c r="A4" t="s">
        <v>13</v>
      </c>
      <c r="B4" t="s">
        <v>113</v>
      </c>
      <c r="C4" t="s">
        <v>125</v>
      </c>
      <c r="D4">
        <f t="shared" ca="1" si="0"/>
        <v>74</v>
      </c>
      <c r="E4">
        <f t="shared" ca="1" si="1"/>
        <v>62</v>
      </c>
      <c r="F4">
        <f t="shared" ca="1" si="2"/>
        <v>72</v>
      </c>
      <c r="G4">
        <f t="shared" ca="1" si="3"/>
        <v>63</v>
      </c>
      <c r="H4">
        <f t="shared" ca="1" si="4"/>
        <v>44</v>
      </c>
      <c r="I4">
        <f t="shared" ca="1" si="5"/>
        <v>315</v>
      </c>
      <c r="J4">
        <v>500</v>
      </c>
      <c r="K4">
        <f t="shared" ca="1" si="6"/>
        <v>0.63</v>
      </c>
      <c r="L4" s="2">
        <f t="shared" ca="1" si="7"/>
        <v>0.37</v>
      </c>
    </row>
    <row r="5" spans="1:12" x14ac:dyDescent="0.25">
      <c r="A5" t="s">
        <v>14</v>
      </c>
      <c r="B5" t="s">
        <v>114</v>
      </c>
      <c r="C5" t="s">
        <v>126</v>
      </c>
      <c r="D5">
        <f t="shared" ca="1" si="0"/>
        <v>72</v>
      </c>
      <c r="E5">
        <f t="shared" ca="1" si="1"/>
        <v>51</v>
      </c>
      <c r="F5">
        <f t="shared" ca="1" si="2"/>
        <v>27</v>
      </c>
      <c r="G5">
        <f t="shared" ca="1" si="3"/>
        <v>23</v>
      </c>
      <c r="H5">
        <f t="shared" ca="1" si="4"/>
        <v>29</v>
      </c>
      <c r="I5">
        <f t="shared" ca="1" si="5"/>
        <v>202</v>
      </c>
      <c r="J5">
        <v>500</v>
      </c>
      <c r="K5">
        <f t="shared" ca="1" si="6"/>
        <v>0.40400000000000003</v>
      </c>
      <c r="L5" s="2">
        <f t="shared" ca="1" si="7"/>
        <v>0.59599999999999997</v>
      </c>
    </row>
    <row r="6" spans="1:12" x14ac:dyDescent="0.25">
      <c r="A6" t="s">
        <v>15</v>
      </c>
      <c r="B6" t="s">
        <v>115</v>
      </c>
      <c r="C6" t="s">
        <v>127</v>
      </c>
      <c r="D6">
        <f t="shared" ca="1" si="0"/>
        <v>40</v>
      </c>
      <c r="E6">
        <f t="shared" ca="1" si="1"/>
        <v>24</v>
      </c>
      <c r="F6">
        <f t="shared" ca="1" si="2"/>
        <v>18</v>
      </c>
      <c r="G6">
        <f t="shared" ca="1" si="3"/>
        <v>49</v>
      </c>
      <c r="H6">
        <f t="shared" ca="1" si="4"/>
        <v>54</v>
      </c>
      <c r="I6">
        <f t="shared" ca="1" si="5"/>
        <v>185</v>
      </c>
      <c r="J6">
        <v>500</v>
      </c>
      <c r="K6">
        <f t="shared" ca="1" si="6"/>
        <v>0.37</v>
      </c>
      <c r="L6" s="2">
        <f t="shared" ca="1" si="7"/>
        <v>0.63</v>
      </c>
    </row>
    <row r="7" spans="1:12" x14ac:dyDescent="0.25">
      <c r="A7" t="s">
        <v>16</v>
      </c>
      <c r="B7" t="s">
        <v>116</v>
      </c>
      <c r="C7" t="s">
        <v>128</v>
      </c>
      <c r="D7">
        <f t="shared" ca="1" si="0"/>
        <v>41</v>
      </c>
      <c r="E7">
        <f t="shared" ca="1" si="1"/>
        <v>17</v>
      </c>
      <c r="F7">
        <f t="shared" ca="1" si="2"/>
        <v>37</v>
      </c>
      <c r="G7">
        <f t="shared" ca="1" si="3"/>
        <v>39</v>
      </c>
      <c r="H7">
        <f t="shared" ca="1" si="4"/>
        <v>49</v>
      </c>
      <c r="I7">
        <f t="shared" ca="1" si="5"/>
        <v>183</v>
      </c>
      <c r="J7">
        <v>500</v>
      </c>
      <c r="K7">
        <f t="shared" ca="1" si="6"/>
        <v>0.36599999999999999</v>
      </c>
      <c r="L7" s="2">
        <f t="shared" ca="1" si="7"/>
        <v>0.63400000000000001</v>
      </c>
    </row>
    <row r="8" spans="1:12" x14ac:dyDescent="0.25">
      <c r="A8" t="s">
        <v>17</v>
      </c>
      <c r="B8" t="s">
        <v>117</v>
      </c>
      <c r="C8" t="s">
        <v>129</v>
      </c>
      <c r="D8">
        <f t="shared" ca="1" si="0"/>
        <v>60</v>
      </c>
      <c r="E8">
        <f t="shared" ca="1" si="1"/>
        <v>64</v>
      </c>
      <c r="F8">
        <f t="shared" ca="1" si="2"/>
        <v>26</v>
      </c>
      <c r="G8">
        <f t="shared" ca="1" si="3"/>
        <v>60</v>
      </c>
      <c r="H8">
        <f t="shared" ca="1" si="4"/>
        <v>67</v>
      </c>
      <c r="I8">
        <f t="shared" ca="1" si="5"/>
        <v>277</v>
      </c>
      <c r="J8">
        <v>500</v>
      </c>
      <c r="K8">
        <f t="shared" ca="1" si="6"/>
        <v>0.55400000000000005</v>
      </c>
      <c r="L8" s="2">
        <f t="shared" ca="1" si="7"/>
        <v>0.44599999999999995</v>
      </c>
    </row>
    <row r="9" spans="1:12" x14ac:dyDescent="0.25">
      <c r="A9" t="s">
        <v>18</v>
      </c>
      <c r="B9" t="s">
        <v>118</v>
      </c>
      <c r="C9" t="s">
        <v>130</v>
      </c>
      <c r="D9">
        <f t="shared" ca="1" si="0"/>
        <v>24</v>
      </c>
      <c r="E9">
        <f t="shared" ca="1" si="1"/>
        <v>55</v>
      </c>
      <c r="F9">
        <f t="shared" ca="1" si="2"/>
        <v>33</v>
      </c>
      <c r="G9">
        <f t="shared" ca="1" si="3"/>
        <v>33</v>
      </c>
      <c r="H9">
        <f t="shared" ca="1" si="4"/>
        <v>29</v>
      </c>
      <c r="I9">
        <f t="shared" ca="1" si="5"/>
        <v>174</v>
      </c>
      <c r="J9">
        <v>500</v>
      </c>
      <c r="K9">
        <f t="shared" ca="1" si="6"/>
        <v>0.34799999999999998</v>
      </c>
      <c r="L9" s="2">
        <f t="shared" ca="1" si="7"/>
        <v>0.65200000000000002</v>
      </c>
    </row>
    <row r="10" spans="1:12" x14ac:dyDescent="0.25">
      <c r="A10" t="s">
        <v>19</v>
      </c>
      <c r="B10" t="s">
        <v>119</v>
      </c>
      <c r="C10" t="s">
        <v>131</v>
      </c>
      <c r="D10">
        <f t="shared" ca="1" si="0"/>
        <v>31</v>
      </c>
      <c r="E10">
        <f t="shared" ca="1" si="1"/>
        <v>49</v>
      </c>
      <c r="F10">
        <f t="shared" ca="1" si="2"/>
        <v>47</v>
      </c>
      <c r="G10">
        <f t="shared" ca="1" si="3"/>
        <v>65</v>
      </c>
      <c r="H10">
        <f t="shared" ca="1" si="4"/>
        <v>39</v>
      </c>
      <c r="I10">
        <f t="shared" ca="1" si="5"/>
        <v>231</v>
      </c>
      <c r="J10">
        <v>500</v>
      </c>
      <c r="K10">
        <f t="shared" ca="1" si="6"/>
        <v>0.46200000000000002</v>
      </c>
      <c r="L10" s="2">
        <f t="shared" ca="1" si="7"/>
        <v>0.53800000000000003</v>
      </c>
    </row>
    <row r="11" spans="1:12" x14ac:dyDescent="0.25">
      <c r="A11" t="s">
        <v>20</v>
      </c>
      <c r="B11" t="s">
        <v>120</v>
      </c>
      <c r="C11" t="s">
        <v>132</v>
      </c>
      <c r="D11">
        <f t="shared" ca="1" si="0"/>
        <v>44</v>
      </c>
      <c r="E11">
        <f t="shared" ca="1" si="1"/>
        <v>12</v>
      </c>
      <c r="F11">
        <f t="shared" ca="1" si="2"/>
        <v>62</v>
      </c>
      <c r="G11">
        <f t="shared" ca="1" si="3"/>
        <v>52</v>
      </c>
      <c r="H11">
        <f t="shared" ca="1" si="4"/>
        <v>54</v>
      </c>
      <c r="I11">
        <f t="shared" ca="1" si="5"/>
        <v>224</v>
      </c>
      <c r="J11">
        <v>500</v>
      </c>
      <c r="K11">
        <f t="shared" ca="1" si="6"/>
        <v>0.44800000000000001</v>
      </c>
      <c r="L11" s="2">
        <f t="shared" ca="1" si="7"/>
        <v>0.55200000000000005</v>
      </c>
    </row>
    <row r="12" spans="1:12" x14ac:dyDescent="0.25">
      <c r="A12" t="s">
        <v>21</v>
      </c>
      <c r="B12" t="s">
        <v>121</v>
      </c>
      <c r="C12" t="s">
        <v>123</v>
      </c>
      <c r="D12">
        <f t="shared" ca="1" si="0"/>
        <v>36</v>
      </c>
      <c r="E12">
        <f t="shared" ca="1" si="1"/>
        <v>66</v>
      </c>
      <c r="F12">
        <f t="shared" ca="1" si="2"/>
        <v>67</v>
      </c>
      <c r="G12">
        <f t="shared" ca="1" si="3"/>
        <v>54</v>
      </c>
      <c r="H12">
        <f t="shared" ca="1" si="4"/>
        <v>37</v>
      </c>
      <c r="I12">
        <f t="shared" ca="1" si="5"/>
        <v>260</v>
      </c>
      <c r="J12">
        <v>500</v>
      </c>
      <c r="K12">
        <f t="shared" ca="1" si="6"/>
        <v>0.52</v>
      </c>
      <c r="L12" s="2">
        <f t="shared" ca="1" si="7"/>
        <v>0.48</v>
      </c>
    </row>
    <row r="13" spans="1:12" x14ac:dyDescent="0.25">
      <c r="A13" t="s">
        <v>22</v>
      </c>
      <c r="B13" t="s">
        <v>122</v>
      </c>
      <c r="C13" t="s">
        <v>124</v>
      </c>
      <c r="D13">
        <f t="shared" ca="1" si="0"/>
        <v>50</v>
      </c>
      <c r="E13">
        <f t="shared" ca="1" si="1"/>
        <v>13</v>
      </c>
      <c r="F13">
        <f t="shared" ca="1" si="2"/>
        <v>22</v>
      </c>
      <c r="G13">
        <f t="shared" ca="1" si="3"/>
        <v>43</v>
      </c>
      <c r="H13">
        <f t="shared" ca="1" si="4"/>
        <v>65</v>
      </c>
      <c r="I13">
        <f t="shared" ca="1" si="5"/>
        <v>193</v>
      </c>
      <c r="J13">
        <v>500</v>
      </c>
      <c r="K13">
        <f t="shared" ca="1" si="6"/>
        <v>0.38600000000000001</v>
      </c>
      <c r="L13" s="2">
        <f t="shared" ca="1" si="7"/>
        <v>0.61399999999999999</v>
      </c>
    </row>
    <row r="14" spans="1:12" x14ac:dyDescent="0.25">
      <c r="A14" t="s">
        <v>23</v>
      </c>
      <c r="B14" t="s">
        <v>111</v>
      </c>
      <c r="C14" t="s">
        <v>125</v>
      </c>
      <c r="D14">
        <f t="shared" ca="1" si="0"/>
        <v>36</v>
      </c>
      <c r="E14">
        <f t="shared" ca="1" si="1"/>
        <v>24</v>
      </c>
      <c r="F14">
        <f t="shared" ca="1" si="2"/>
        <v>49</v>
      </c>
      <c r="G14">
        <f t="shared" ca="1" si="3"/>
        <v>31</v>
      </c>
      <c r="H14">
        <f t="shared" ca="1" si="4"/>
        <v>51</v>
      </c>
      <c r="I14">
        <f t="shared" ca="1" si="5"/>
        <v>191</v>
      </c>
      <c r="J14">
        <v>500</v>
      </c>
      <c r="K14">
        <f t="shared" ca="1" si="6"/>
        <v>0.38200000000000001</v>
      </c>
      <c r="L14" s="2">
        <f t="shared" ca="1" si="7"/>
        <v>0.61799999999999999</v>
      </c>
    </row>
    <row r="15" spans="1:12" x14ac:dyDescent="0.25">
      <c r="A15" t="s">
        <v>24</v>
      </c>
      <c r="B15" t="s">
        <v>112</v>
      </c>
      <c r="C15" t="s">
        <v>126</v>
      </c>
      <c r="D15">
        <f t="shared" ca="1" si="0"/>
        <v>76</v>
      </c>
      <c r="E15">
        <f t="shared" ca="1" si="1"/>
        <v>58</v>
      </c>
      <c r="F15">
        <f t="shared" ca="1" si="2"/>
        <v>28</v>
      </c>
      <c r="G15">
        <f t="shared" ca="1" si="3"/>
        <v>58</v>
      </c>
      <c r="H15">
        <f t="shared" ca="1" si="4"/>
        <v>52</v>
      </c>
      <c r="I15">
        <f t="shared" ca="1" si="5"/>
        <v>272</v>
      </c>
      <c r="J15">
        <v>500</v>
      </c>
      <c r="K15">
        <f t="shared" ca="1" si="6"/>
        <v>0.54400000000000004</v>
      </c>
      <c r="L15" s="2">
        <f t="shared" ca="1" si="7"/>
        <v>0.45599999999999996</v>
      </c>
    </row>
    <row r="16" spans="1:12" x14ac:dyDescent="0.25">
      <c r="A16" t="s">
        <v>25</v>
      </c>
      <c r="B16" t="s">
        <v>113</v>
      </c>
      <c r="C16" t="s">
        <v>127</v>
      </c>
      <c r="D16">
        <f t="shared" ca="1" si="0"/>
        <v>35</v>
      </c>
      <c r="E16">
        <f t="shared" ca="1" si="1"/>
        <v>45</v>
      </c>
      <c r="F16">
        <f t="shared" ca="1" si="2"/>
        <v>32</v>
      </c>
      <c r="G16">
        <f t="shared" ca="1" si="3"/>
        <v>36</v>
      </c>
      <c r="H16">
        <f t="shared" ca="1" si="4"/>
        <v>72</v>
      </c>
      <c r="I16">
        <f t="shared" ca="1" si="5"/>
        <v>220</v>
      </c>
      <c r="J16">
        <v>500</v>
      </c>
      <c r="K16">
        <f t="shared" ca="1" si="6"/>
        <v>0.44</v>
      </c>
      <c r="L16" s="2">
        <f t="shared" ca="1" si="7"/>
        <v>0.56000000000000005</v>
      </c>
    </row>
    <row r="17" spans="1:12" x14ac:dyDescent="0.25">
      <c r="A17" t="s">
        <v>26</v>
      </c>
      <c r="B17" t="s">
        <v>114</v>
      </c>
      <c r="C17" t="s">
        <v>128</v>
      </c>
      <c r="D17">
        <f t="shared" ca="1" si="0"/>
        <v>61</v>
      </c>
      <c r="E17">
        <f t="shared" ca="1" si="1"/>
        <v>36</v>
      </c>
      <c r="F17">
        <f t="shared" ca="1" si="2"/>
        <v>68</v>
      </c>
      <c r="G17">
        <f t="shared" ca="1" si="3"/>
        <v>35</v>
      </c>
      <c r="H17">
        <f t="shared" ca="1" si="4"/>
        <v>47</v>
      </c>
      <c r="I17">
        <f t="shared" ca="1" si="5"/>
        <v>247</v>
      </c>
      <c r="J17">
        <v>500</v>
      </c>
      <c r="K17">
        <f t="shared" ca="1" si="6"/>
        <v>0.49399999999999999</v>
      </c>
      <c r="L17" s="2">
        <f t="shared" ca="1" si="7"/>
        <v>0.50600000000000001</v>
      </c>
    </row>
    <row r="18" spans="1:12" x14ac:dyDescent="0.25">
      <c r="A18" t="s">
        <v>27</v>
      </c>
      <c r="B18" t="s">
        <v>115</v>
      </c>
      <c r="C18" t="s">
        <v>129</v>
      </c>
      <c r="D18">
        <f t="shared" ca="1" si="0"/>
        <v>69</v>
      </c>
      <c r="E18">
        <f t="shared" ca="1" si="1"/>
        <v>23</v>
      </c>
      <c r="F18">
        <f t="shared" ca="1" si="2"/>
        <v>57</v>
      </c>
      <c r="G18">
        <f t="shared" ca="1" si="3"/>
        <v>60</v>
      </c>
      <c r="H18">
        <f t="shared" ca="1" si="4"/>
        <v>61</v>
      </c>
      <c r="I18">
        <f t="shared" ca="1" si="5"/>
        <v>270</v>
      </c>
      <c r="J18">
        <v>500</v>
      </c>
      <c r="K18">
        <f t="shared" ca="1" si="6"/>
        <v>0.54</v>
      </c>
      <c r="L18" s="2">
        <f t="shared" ca="1" si="7"/>
        <v>0.45999999999999996</v>
      </c>
    </row>
    <row r="19" spans="1:12" x14ac:dyDescent="0.25">
      <c r="A19" t="s">
        <v>28</v>
      </c>
      <c r="B19" t="s">
        <v>116</v>
      </c>
      <c r="C19" t="s">
        <v>130</v>
      </c>
      <c r="D19">
        <f t="shared" ca="1" si="0"/>
        <v>56</v>
      </c>
      <c r="E19">
        <f t="shared" ca="1" si="1"/>
        <v>64</v>
      </c>
      <c r="F19">
        <f t="shared" ca="1" si="2"/>
        <v>32</v>
      </c>
      <c r="G19">
        <f t="shared" ca="1" si="3"/>
        <v>37</v>
      </c>
      <c r="H19">
        <f t="shared" ca="1" si="4"/>
        <v>51</v>
      </c>
      <c r="I19">
        <f t="shared" ca="1" si="5"/>
        <v>240</v>
      </c>
      <c r="J19">
        <v>500</v>
      </c>
      <c r="K19">
        <f t="shared" ca="1" si="6"/>
        <v>0.48</v>
      </c>
      <c r="L19" s="2">
        <f t="shared" ca="1" si="7"/>
        <v>0.52</v>
      </c>
    </row>
    <row r="20" spans="1:12" x14ac:dyDescent="0.25">
      <c r="A20" t="s">
        <v>29</v>
      </c>
      <c r="B20" t="s">
        <v>117</v>
      </c>
      <c r="C20" t="s">
        <v>131</v>
      </c>
      <c r="D20">
        <f t="shared" ca="1" si="0"/>
        <v>87</v>
      </c>
      <c r="E20">
        <f t="shared" ca="1" si="1"/>
        <v>58</v>
      </c>
      <c r="F20">
        <f t="shared" ca="1" si="2"/>
        <v>57</v>
      </c>
      <c r="G20">
        <f t="shared" ca="1" si="3"/>
        <v>41</v>
      </c>
      <c r="H20">
        <f t="shared" ca="1" si="4"/>
        <v>86</v>
      </c>
      <c r="I20">
        <f t="shared" ca="1" si="5"/>
        <v>329</v>
      </c>
      <c r="J20">
        <v>500</v>
      </c>
      <c r="K20">
        <f t="shared" ca="1" si="6"/>
        <v>0.65800000000000003</v>
      </c>
      <c r="L20" s="2">
        <f t="shared" ca="1" si="7"/>
        <v>0.34199999999999997</v>
      </c>
    </row>
    <row r="21" spans="1:12" x14ac:dyDescent="0.25">
      <c r="A21" t="s">
        <v>30</v>
      </c>
      <c r="B21" t="s">
        <v>118</v>
      </c>
      <c r="C21" t="s">
        <v>132</v>
      </c>
      <c r="D21">
        <f t="shared" ca="1" si="0"/>
        <v>76</v>
      </c>
      <c r="E21">
        <f t="shared" ca="1" si="1"/>
        <v>49</v>
      </c>
      <c r="F21">
        <f t="shared" ca="1" si="2"/>
        <v>25</v>
      </c>
      <c r="G21">
        <f t="shared" ca="1" si="3"/>
        <v>40</v>
      </c>
      <c r="H21">
        <f t="shared" ca="1" si="4"/>
        <v>31</v>
      </c>
      <c r="I21">
        <f t="shared" ca="1" si="5"/>
        <v>221</v>
      </c>
      <c r="J21">
        <v>500</v>
      </c>
      <c r="K21">
        <f t="shared" ca="1" si="6"/>
        <v>0.442</v>
      </c>
      <c r="L21" s="2">
        <f t="shared" ca="1" si="7"/>
        <v>0.55800000000000005</v>
      </c>
    </row>
    <row r="22" spans="1:12" x14ac:dyDescent="0.25">
      <c r="A22" t="s">
        <v>31</v>
      </c>
      <c r="B22" t="s">
        <v>119</v>
      </c>
      <c r="C22" t="s">
        <v>123</v>
      </c>
      <c r="D22">
        <f t="shared" ca="1" si="0"/>
        <v>83</v>
      </c>
      <c r="E22">
        <f t="shared" ca="1" si="1"/>
        <v>62</v>
      </c>
      <c r="F22">
        <f t="shared" ca="1" si="2"/>
        <v>59</v>
      </c>
      <c r="G22">
        <f t="shared" ca="1" si="3"/>
        <v>62</v>
      </c>
      <c r="H22">
        <f t="shared" ca="1" si="4"/>
        <v>38</v>
      </c>
      <c r="I22">
        <f t="shared" ca="1" si="5"/>
        <v>304</v>
      </c>
      <c r="J22">
        <v>500</v>
      </c>
      <c r="K22">
        <f t="shared" ca="1" si="6"/>
        <v>0.60799999999999998</v>
      </c>
      <c r="L22" s="2">
        <f t="shared" ca="1" si="7"/>
        <v>0.39200000000000002</v>
      </c>
    </row>
    <row r="23" spans="1:12" x14ac:dyDescent="0.25">
      <c r="A23" t="s">
        <v>32</v>
      </c>
      <c r="B23" t="s">
        <v>120</v>
      </c>
      <c r="C23" t="s">
        <v>124</v>
      </c>
      <c r="D23">
        <f t="shared" ca="1" si="0"/>
        <v>54</v>
      </c>
      <c r="E23">
        <f t="shared" ca="1" si="1"/>
        <v>48</v>
      </c>
      <c r="F23">
        <f t="shared" ca="1" si="2"/>
        <v>24</v>
      </c>
      <c r="G23">
        <f t="shared" ca="1" si="3"/>
        <v>63</v>
      </c>
      <c r="H23">
        <f t="shared" ca="1" si="4"/>
        <v>39</v>
      </c>
      <c r="I23">
        <f t="shared" ca="1" si="5"/>
        <v>228</v>
      </c>
      <c r="J23">
        <v>500</v>
      </c>
      <c r="K23">
        <f t="shared" ca="1" si="6"/>
        <v>0.45600000000000002</v>
      </c>
      <c r="L23" s="2">
        <f t="shared" ca="1" si="7"/>
        <v>0.54400000000000004</v>
      </c>
    </row>
    <row r="24" spans="1:12" x14ac:dyDescent="0.25">
      <c r="A24" t="s">
        <v>33</v>
      </c>
      <c r="B24" t="s">
        <v>121</v>
      </c>
      <c r="C24" t="s">
        <v>125</v>
      </c>
      <c r="D24">
        <f t="shared" ca="1" si="0"/>
        <v>69</v>
      </c>
      <c r="E24">
        <f t="shared" ca="1" si="1"/>
        <v>31</v>
      </c>
      <c r="F24">
        <f t="shared" ca="1" si="2"/>
        <v>42</v>
      </c>
      <c r="G24">
        <f t="shared" ca="1" si="3"/>
        <v>35</v>
      </c>
      <c r="H24">
        <f t="shared" ca="1" si="4"/>
        <v>89</v>
      </c>
      <c r="I24">
        <f t="shared" ca="1" si="5"/>
        <v>266</v>
      </c>
      <c r="J24">
        <v>500</v>
      </c>
      <c r="K24">
        <f t="shared" ca="1" si="6"/>
        <v>0.53200000000000003</v>
      </c>
      <c r="L24" s="2">
        <f t="shared" ca="1" si="7"/>
        <v>0.46799999999999997</v>
      </c>
    </row>
    <row r="25" spans="1:12" x14ac:dyDescent="0.25">
      <c r="A25" t="s">
        <v>34</v>
      </c>
      <c r="B25" t="s">
        <v>122</v>
      </c>
      <c r="C25" t="s">
        <v>126</v>
      </c>
      <c r="D25">
        <f t="shared" ca="1" si="0"/>
        <v>61</v>
      </c>
      <c r="E25">
        <f t="shared" ca="1" si="1"/>
        <v>14</v>
      </c>
      <c r="F25">
        <f t="shared" ca="1" si="2"/>
        <v>55</v>
      </c>
      <c r="G25">
        <f t="shared" ca="1" si="3"/>
        <v>27</v>
      </c>
      <c r="H25">
        <f t="shared" ca="1" si="4"/>
        <v>28</v>
      </c>
      <c r="I25">
        <f t="shared" ca="1" si="5"/>
        <v>185</v>
      </c>
      <c r="J25">
        <v>500</v>
      </c>
      <c r="K25">
        <f t="shared" ca="1" si="6"/>
        <v>0.37</v>
      </c>
      <c r="L25" s="2">
        <f t="shared" ca="1" si="7"/>
        <v>0.63</v>
      </c>
    </row>
    <row r="26" spans="1:12" x14ac:dyDescent="0.25">
      <c r="A26" t="s">
        <v>35</v>
      </c>
      <c r="B26" t="s">
        <v>111</v>
      </c>
      <c r="C26" t="s">
        <v>127</v>
      </c>
      <c r="D26">
        <f t="shared" ca="1" si="0"/>
        <v>77</v>
      </c>
      <c r="E26">
        <f t="shared" ca="1" si="1"/>
        <v>22</v>
      </c>
      <c r="F26">
        <f t="shared" ca="1" si="2"/>
        <v>23</v>
      </c>
      <c r="G26">
        <f t="shared" ca="1" si="3"/>
        <v>48</v>
      </c>
      <c r="H26">
        <f t="shared" ca="1" si="4"/>
        <v>24</v>
      </c>
      <c r="I26">
        <f t="shared" ca="1" si="5"/>
        <v>194</v>
      </c>
      <c r="J26">
        <v>500</v>
      </c>
      <c r="K26">
        <f t="shared" ca="1" si="6"/>
        <v>0.38800000000000001</v>
      </c>
      <c r="L26" s="2">
        <f t="shared" ca="1" si="7"/>
        <v>0.61199999999999999</v>
      </c>
    </row>
    <row r="27" spans="1:12" x14ac:dyDescent="0.25">
      <c r="A27" t="s">
        <v>36</v>
      </c>
      <c r="B27" t="s">
        <v>112</v>
      </c>
      <c r="C27" t="s">
        <v>128</v>
      </c>
      <c r="D27">
        <f t="shared" ca="1" si="0"/>
        <v>74</v>
      </c>
      <c r="E27">
        <f t="shared" ca="1" si="1"/>
        <v>51</v>
      </c>
      <c r="F27">
        <f t="shared" ca="1" si="2"/>
        <v>56</v>
      </c>
      <c r="G27">
        <f t="shared" ca="1" si="3"/>
        <v>32</v>
      </c>
      <c r="H27">
        <f t="shared" ca="1" si="4"/>
        <v>94</v>
      </c>
      <c r="I27">
        <f t="shared" ca="1" si="5"/>
        <v>307</v>
      </c>
      <c r="J27">
        <v>500</v>
      </c>
      <c r="K27">
        <f t="shared" ca="1" si="6"/>
        <v>0.61399999999999999</v>
      </c>
      <c r="L27" s="2">
        <f t="shared" ca="1" si="7"/>
        <v>0.38600000000000001</v>
      </c>
    </row>
    <row r="28" spans="1:12" x14ac:dyDescent="0.25">
      <c r="A28" t="s">
        <v>37</v>
      </c>
      <c r="B28" t="s">
        <v>113</v>
      </c>
      <c r="C28" t="s">
        <v>129</v>
      </c>
      <c r="D28">
        <f t="shared" ca="1" si="0"/>
        <v>44</v>
      </c>
      <c r="E28">
        <f t="shared" ca="1" si="1"/>
        <v>47</v>
      </c>
      <c r="F28">
        <f t="shared" ca="1" si="2"/>
        <v>51</v>
      </c>
      <c r="G28">
        <f t="shared" ca="1" si="3"/>
        <v>35</v>
      </c>
      <c r="H28">
        <f t="shared" ca="1" si="4"/>
        <v>23</v>
      </c>
      <c r="I28">
        <f t="shared" ca="1" si="5"/>
        <v>200</v>
      </c>
      <c r="J28">
        <v>500</v>
      </c>
      <c r="K28">
        <f t="shared" ca="1" si="6"/>
        <v>0.4</v>
      </c>
      <c r="L28" s="2">
        <f t="shared" ca="1" si="7"/>
        <v>0.6</v>
      </c>
    </row>
    <row r="29" spans="1:12" x14ac:dyDescent="0.25">
      <c r="A29" t="s">
        <v>38</v>
      </c>
      <c r="B29" t="s">
        <v>114</v>
      </c>
      <c r="C29" t="s">
        <v>130</v>
      </c>
      <c r="D29">
        <f t="shared" ca="1" si="0"/>
        <v>62</v>
      </c>
      <c r="E29">
        <f t="shared" ca="1" si="1"/>
        <v>40</v>
      </c>
      <c r="F29">
        <f t="shared" ca="1" si="2"/>
        <v>29</v>
      </c>
      <c r="G29">
        <f t="shared" ca="1" si="3"/>
        <v>54</v>
      </c>
      <c r="H29">
        <f t="shared" ca="1" si="4"/>
        <v>26</v>
      </c>
      <c r="I29">
        <f t="shared" ca="1" si="5"/>
        <v>211</v>
      </c>
      <c r="J29">
        <v>500</v>
      </c>
      <c r="K29">
        <f t="shared" ca="1" si="6"/>
        <v>0.42199999999999999</v>
      </c>
      <c r="L29" s="2">
        <f t="shared" ca="1" si="7"/>
        <v>0.57800000000000007</v>
      </c>
    </row>
    <row r="30" spans="1:12" x14ac:dyDescent="0.25">
      <c r="A30" t="s">
        <v>39</v>
      </c>
      <c r="B30" t="s">
        <v>115</v>
      </c>
      <c r="C30" t="s">
        <v>131</v>
      </c>
      <c r="D30">
        <f t="shared" ca="1" si="0"/>
        <v>49</v>
      </c>
      <c r="E30">
        <f t="shared" ca="1" si="1"/>
        <v>36</v>
      </c>
      <c r="F30">
        <f t="shared" ca="1" si="2"/>
        <v>36</v>
      </c>
      <c r="G30">
        <f t="shared" ca="1" si="3"/>
        <v>53</v>
      </c>
      <c r="H30">
        <f t="shared" ca="1" si="4"/>
        <v>39</v>
      </c>
      <c r="I30">
        <f t="shared" ca="1" si="5"/>
        <v>213</v>
      </c>
      <c r="J30">
        <v>500</v>
      </c>
      <c r="K30">
        <f t="shared" ca="1" si="6"/>
        <v>0.42599999999999999</v>
      </c>
      <c r="L30" s="2">
        <f t="shared" ca="1" si="7"/>
        <v>0.57400000000000007</v>
      </c>
    </row>
    <row r="31" spans="1:12" x14ac:dyDescent="0.25">
      <c r="A31" t="s">
        <v>40</v>
      </c>
      <c r="B31" t="s">
        <v>116</v>
      </c>
      <c r="C31" t="s">
        <v>132</v>
      </c>
      <c r="D31">
        <f t="shared" ca="1" si="0"/>
        <v>31</v>
      </c>
      <c r="E31">
        <f t="shared" ca="1" si="1"/>
        <v>31</v>
      </c>
      <c r="F31">
        <f t="shared" ca="1" si="2"/>
        <v>30</v>
      </c>
      <c r="G31">
        <f t="shared" ca="1" si="3"/>
        <v>59</v>
      </c>
      <c r="H31">
        <f t="shared" ca="1" si="4"/>
        <v>44</v>
      </c>
      <c r="I31">
        <f t="shared" ca="1" si="5"/>
        <v>195</v>
      </c>
      <c r="J31">
        <v>500</v>
      </c>
      <c r="K31">
        <f t="shared" ca="1" si="6"/>
        <v>0.39</v>
      </c>
      <c r="L31" s="2">
        <f t="shared" ca="1" si="7"/>
        <v>0.61</v>
      </c>
    </row>
    <row r="32" spans="1:12" x14ac:dyDescent="0.25">
      <c r="A32" t="s">
        <v>41</v>
      </c>
      <c r="B32" t="s">
        <v>117</v>
      </c>
      <c r="C32" t="s">
        <v>123</v>
      </c>
      <c r="D32">
        <f t="shared" ca="1" si="0"/>
        <v>90</v>
      </c>
      <c r="E32">
        <f t="shared" ca="1" si="1"/>
        <v>17</v>
      </c>
      <c r="F32">
        <f t="shared" ca="1" si="2"/>
        <v>51</v>
      </c>
      <c r="G32">
        <f t="shared" ca="1" si="3"/>
        <v>25</v>
      </c>
      <c r="H32">
        <f t="shared" ca="1" si="4"/>
        <v>33</v>
      </c>
      <c r="I32">
        <f t="shared" ca="1" si="5"/>
        <v>216</v>
      </c>
      <c r="J32">
        <v>500</v>
      </c>
      <c r="K32">
        <f t="shared" ca="1" si="6"/>
        <v>0.432</v>
      </c>
      <c r="L32" s="2">
        <f t="shared" ca="1" si="7"/>
        <v>0.56800000000000006</v>
      </c>
    </row>
    <row r="33" spans="1:12" x14ac:dyDescent="0.25">
      <c r="A33" t="s">
        <v>42</v>
      </c>
      <c r="B33" t="s">
        <v>118</v>
      </c>
      <c r="C33" t="s">
        <v>124</v>
      </c>
      <c r="D33">
        <f t="shared" ca="1" si="0"/>
        <v>24</v>
      </c>
      <c r="E33">
        <f t="shared" ca="1" si="1"/>
        <v>65</v>
      </c>
      <c r="F33">
        <f t="shared" ca="1" si="2"/>
        <v>47</v>
      </c>
      <c r="G33">
        <f t="shared" ca="1" si="3"/>
        <v>61</v>
      </c>
      <c r="H33">
        <f t="shared" ca="1" si="4"/>
        <v>35</v>
      </c>
      <c r="I33">
        <f t="shared" ca="1" si="5"/>
        <v>232</v>
      </c>
      <c r="J33">
        <v>500</v>
      </c>
      <c r="K33">
        <f t="shared" ca="1" si="6"/>
        <v>0.46400000000000002</v>
      </c>
      <c r="L33" s="2">
        <f t="shared" ca="1" si="7"/>
        <v>0.53600000000000003</v>
      </c>
    </row>
    <row r="34" spans="1:12" x14ac:dyDescent="0.25">
      <c r="A34" t="s">
        <v>43</v>
      </c>
      <c r="B34" t="s">
        <v>119</v>
      </c>
      <c r="C34" t="s">
        <v>125</v>
      </c>
      <c r="D34">
        <f t="shared" ca="1" si="0"/>
        <v>66</v>
      </c>
      <c r="E34">
        <f t="shared" ca="1" si="1"/>
        <v>61</v>
      </c>
      <c r="F34">
        <f t="shared" ca="1" si="2"/>
        <v>58</v>
      </c>
      <c r="G34">
        <f t="shared" ca="1" si="3"/>
        <v>41</v>
      </c>
      <c r="H34">
        <f t="shared" ca="1" si="4"/>
        <v>45</v>
      </c>
      <c r="I34">
        <f t="shared" ca="1" si="5"/>
        <v>271</v>
      </c>
      <c r="J34">
        <v>500</v>
      </c>
      <c r="K34">
        <f t="shared" ca="1" si="6"/>
        <v>0.54200000000000004</v>
      </c>
      <c r="L34" s="2">
        <f t="shared" ca="1" si="7"/>
        <v>0.45799999999999996</v>
      </c>
    </row>
    <row r="35" spans="1:12" x14ac:dyDescent="0.25">
      <c r="A35" t="s">
        <v>44</v>
      </c>
      <c r="B35" t="s">
        <v>120</v>
      </c>
      <c r="C35" t="s">
        <v>126</v>
      </c>
      <c r="D35">
        <f t="shared" ca="1" si="0"/>
        <v>84</v>
      </c>
      <c r="E35">
        <f t="shared" ca="1" si="1"/>
        <v>14</v>
      </c>
      <c r="F35">
        <f t="shared" ca="1" si="2"/>
        <v>77</v>
      </c>
      <c r="G35">
        <f t="shared" ca="1" si="3"/>
        <v>50</v>
      </c>
      <c r="H35">
        <f t="shared" ca="1" si="4"/>
        <v>77</v>
      </c>
      <c r="I35">
        <f t="shared" ca="1" si="5"/>
        <v>302</v>
      </c>
      <c r="J35">
        <v>500</v>
      </c>
      <c r="K35">
        <f t="shared" ca="1" si="6"/>
        <v>0.60399999999999998</v>
      </c>
      <c r="L35" s="2">
        <f t="shared" ca="1" si="7"/>
        <v>0.39600000000000002</v>
      </c>
    </row>
    <row r="36" spans="1:12" x14ac:dyDescent="0.25">
      <c r="A36" t="s">
        <v>45</v>
      </c>
      <c r="B36" t="s">
        <v>121</v>
      </c>
      <c r="C36" t="s">
        <v>127</v>
      </c>
      <c r="D36">
        <f t="shared" ca="1" si="0"/>
        <v>48</v>
      </c>
      <c r="E36">
        <f t="shared" ca="1" si="1"/>
        <v>40</v>
      </c>
      <c r="F36">
        <f t="shared" ca="1" si="2"/>
        <v>44</v>
      </c>
      <c r="G36">
        <f t="shared" ca="1" si="3"/>
        <v>41</v>
      </c>
      <c r="H36">
        <f t="shared" ca="1" si="4"/>
        <v>78</v>
      </c>
      <c r="I36">
        <f t="shared" ca="1" si="5"/>
        <v>251</v>
      </c>
      <c r="J36">
        <v>500</v>
      </c>
      <c r="K36">
        <f t="shared" ca="1" si="6"/>
        <v>0.502</v>
      </c>
      <c r="L36" s="2">
        <f t="shared" ca="1" si="7"/>
        <v>0.498</v>
      </c>
    </row>
    <row r="37" spans="1:12" x14ac:dyDescent="0.25">
      <c r="A37" t="s">
        <v>46</v>
      </c>
      <c r="B37" t="s">
        <v>122</v>
      </c>
      <c r="C37" t="s">
        <v>128</v>
      </c>
      <c r="D37">
        <f t="shared" ca="1" si="0"/>
        <v>62</v>
      </c>
      <c r="E37">
        <f t="shared" ca="1" si="1"/>
        <v>34</v>
      </c>
      <c r="F37">
        <f t="shared" ca="1" si="2"/>
        <v>15</v>
      </c>
      <c r="G37">
        <f t="shared" ca="1" si="3"/>
        <v>39</v>
      </c>
      <c r="H37">
        <f t="shared" ca="1" si="4"/>
        <v>72</v>
      </c>
      <c r="I37">
        <f t="shared" ca="1" si="5"/>
        <v>222</v>
      </c>
      <c r="J37">
        <v>500</v>
      </c>
      <c r="K37">
        <f t="shared" ca="1" si="6"/>
        <v>0.44400000000000001</v>
      </c>
      <c r="L37" s="2">
        <f t="shared" ca="1" si="7"/>
        <v>0.55600000000000005</v>
      </c>
    </row>
    <row r="38" spans="1:12" x14ac:dyDescent="0.25">
      <c r="A38" t="s">
        <v>47</v>
      </c>
      <c r="B38" t="s">
        <v>111</v>
      </c>
      <c r="C38" t="s">
        <v>129</v>
      </c>
      <c r="D38">
        <f t="shared" ca="1" si="0"/>
        <v>76</v>
      </c>
      <c r="E38">
        <f t="shared" ca="1" si="1"/>
        <v>42</v>
      </c>
      <c r="F38">
        <f t="shared" ca="1" si="2"/>
        <v>43</v>
      </c>
      <c r="G38">
        <f t="shared" ca="1" si="3"/>
        <v>39</v>
      </c>
      <c r="H38">
        <f t="shared" ca="1" si="4"/>
        <v>51</v>
      </c>
      <c r="I38">
        <f t="shared" ca="1" si="5"/>
        <v>251</v>
      </c>
      <c r="J38">
        <v>500</v>
      </c>
      <c r="K38">
        <f t="shared" ca="1" si="6"/>
        <v>0.502</v>
      </c>
      <c r="L38" s="2">
        <f t="shared" ca="1" si="7"/>
        <v>0.498</v>
      </c>
    </row>
    <row r="39" spans="1:12" x14ac:dyDescent="0.25">
      <c r="A39" t="s">
        <v>48</v>
      </c>
      <c r="B39" t="s">
        <v>112</v>
      </c>
      <c r="C39" t="s">
        <v>130</v>
      </c>
      <c r="D39">
        <f t="shared" ca="1" si="0"/>
        <v>56</v>
      </c>
      <c r="E39">
        <f t="shared" ca="1" si="1"/>
        <v>31</v>
      </c>
      <c r="F39">
        <f t="shared" ca="1" si="2"/>
        <v>39</v>
      </c>
      <c r="G39">
        <f t="shared" ca="1" si="3"/>
        <v>62</v>
      </c>
      <c r="H39">
        <f t="shared" ca="1" si="4"/>
        <v>33</v>
      </c>
      <c r="I39">
        <f t="shared" ca="1" si="5"/>
        <v>221</v>
      </c>
      <c r="J39">
        <v>500</v>
      </c>
      <c r="K39">
        <f t="shared" ca="1" si="6"/>
        <v>0.442</v>
      </c>
      <c r="L39" s="2">
        <f t="shared" ca="1" si="7"/>
        <v>0.55800000000000005</v>
      </c>
    </row>
    <row r="40" spans="1:12" x14ac:dyDescent="0.25">
      <c r="A40" t="s">
        <v>49</v>
      </c>
      <c r="B40" t="s">
        <v>113</v>
      </c>
      <c r="C40" t="s">
        <v>131</v>
      </c>
      <c r="D40">
        <f t="shared" ca="1" si="0"/>
        <v>81</v>
      </c>
      <c r="E40">
        <f t="shared" ca="1" si="1"/>
        <v>31</v>
      </c>
      <c r="F40">
        <f t="shared" ca="1" si="2"/>
        <v>68</v>
      </c>
      <c r="G40">
        <f t="shared" ca="1" si="3"/>
        <v>63</v>
      </c>
      <c r="H40">
        <f t="shared" ca="1" si="4"/>
        <v>51</v>
      </c>
      <c r="I40">
        <f t="shared" ca="1" si="5"/>
        <v>294</v>
      </c>
      <c r="J40">
        <v>500</v>
      </c>
      <c r="K40">
        <f t="shared" ca="1" si="6"/>
        <v>0.58799999999999997</v>
      </c>
      <c r="L40" s="2">
        <f t="shared" ca="1" si="7"/>
        <v>0.41200000000000003</v>
      </c>
    </row>
    <row r="41" spans="1:12" x14ac:dyDescent="0.25">
      <c r="A41" t="s">
        <v>50</v>
      </c>
      <c r="B41" t="s">
        <v>114</v>
      </c>
      <c r="C41" t="s">
        <v>132</v>
      </c>
      <c r="D41">
        <f t="shared" ca="1" si="0"/>
        <v>68</v>
      </c>
      <c r="E41">
        <f t="shared" ca="1" si="1"/>
        <v>25</v>
      </c>
      <c r="F41">
        <f t="shared" ca="1" si="2"/>
        <v>29</v>
      </c>
      <c r="G41">
        <f t="shared" ca="1" si="3"/>
        <v>52</v>
      </c>
      <c r="H41">
        <f t="shared" ca="1" si="4"/>
        <v>82</v>
      </c>
      <c r="I41">
        <f t="shared" ca="1" si="5"/>
        <v>256</v>
      </c>
      <c r="J41">
        <v>500</v>
      </c>
      <c r="K41">
        <f t="shared" ca="1" si="6"/>
        <v>0.51200000000000001</v>
      </c>
      <c r="L41" s="2">
        <f t="shared" ca="1" si="7"/>
        <v>0.48799999999999999</v>
      </c>
    </row>
    <row r="42" spans="1:12" x14ac:dyDescent="0.25">
      <c r="A42" t="s">
        <v>51</v>
      </c>
      <c r="B42" t="s">
        <v>115</v>
      </c>
      <c r="C42" t="s">
        <v>123</v>
      </c>
      <c r="D42">
        <f t="shared" ca="1" si="0"/>
        <v>49</v>
      </c>
      <c r="E42">
        <f t="shared" ca="1" si="1"/>
        <v>17</v>
      </c>
      <c r="F42">
        <f t="shared" ca="1" si="2"/>
        <v>46</v>
      </c>
      <c r="G42">
        <f t="shared" ca="1" si="3"/>
        <v>46</v>
      </c>
      <c r="H42">
        <f t="shared" ca="1" si="4"/>
        <v>39</v>
      </c>
      <c r="I42">
        <f t="shared" ca="1" si="5"/>
        <v>197</v>
      </c>
      <c r="J42">
        <v>500</v>
      </c>
      <c r="K42">
        <f t="shared" ca="1" si="6"/>
        <v>0.39400000000000002</v>
      </c>
      <c r="L42" s="2">
        <f t="shared" ca="1" si="7"/>
        <v>0.60599999999999998</v>
      </c>
    </row>
    <row r="43" spans="1:12" x14ac:dyDescent="0.25">
      <c r="A43" t="s">
        <v>52</v>
      </c>
      <c r="B43" t="s">
        <v>116</v>
      </c>
      <c r="C43" t="s">
        <v>124</v>
      </c>
      <c r="D43">
        <f t="shared" ca="1" si="0"/>
        <v>75</v>
      </c>
      <c r="E43">
        <f t="shared" ca="1" si="1"/>
        <v>21</v>
      </c>
      <c r="F43">
        <f t="shared" ca="1" si="2"/>
        <v>50</v>
      </c>
      <c r="G43">
        <f t="shared" ca="1" si="3"/>
        <v>59</v>
      </c>
      <c r="H43">
        <f t="shared" ca="1" si="4"/>
        <v>47</v>
      </c>
      <c r="I43">
        <f t="shared" ca="1" si="5"/>
        <v>252</v>
      </c>
      <c r="J43">
        <v>500</v>
      </c>
      <c r="K43">
        <f t="shared" ca="1" si="6"/>
        <v>0.504</v>
      </c>
      <c r="L43" s="2">
        <f t="shared" ca="1" si="7"/>
        <v>0.496</v>
      </c>
    </row>
    <row r="44" spans="1:12" x14ac:dyDescent="0.25">
      <c r="A44" t="s">
        <v>53</v>
      </c>
      <c r="B44" t="s">
        <v>117</v>
      </c>
      <c r="C44" t="s">
        <v>125</v>
      </c>
      <c r="D44">
        <f t="shared" ca="1" si="0"/>
        <v>37</v>
      </c>
      <c r="E44">
        <f t="shared" ca="1" si="1"/>
        <v>31</v>
      </c>
      <c r="F44">
        <f t="shared" ca="1" si="2"/>
        <v>66</v>
      </c>
      <c r="G44">
        <f t="shared" ca="1" si="3"/>
        <v>61</v>
      </c>
      <c r="H44">
        <f t="shared" ca="1" si="4"/>
        <v>90</v>
      </c>
      <c r="I44">
        <f t="shared" ca="1" si="5"/>
        <v>285</v>
      </c>
      <c r="J44">
        <v>500</v>
      </c>
      <c r="K44">
        <f t="shared" ca="1" si="6"/>
        <v>0.56999999999999995</v>
      </c>
      <c r="L44" s="2">
        <f t="shared" ca="1" si="7"/>
        <v>0.43000000000000005</v>
      </c>
    </row>
    <row r="45" spans="1:12" x14ac:dyDescent="0.25">
      <c r="A45" t="s">
        <v>54</v>
      </c>
      <c r="B45" t="s">
        <v>118</v>
      </c>
      <c r="C45" t="s">
        <v>126</v>
      </c>
      <c r="D45">
        <f t="shared" ca="1" si="0"/>
        <v>70</v>
      </c>
      <c r="E45">
        <f t="shared" ca="1" si="1"/>
        <v>15</v>
      </c>
      <c r="F45">
        <f t="shared" ca="1" si="2"/>
        <v>60</v>
      </c>
      <c r="G45">
        <f t="shared" ca="1" si="3"/>
        <v>42</v>
      </c>
      <c r="H45">
        <f t="shared" ca="1" si="4"/>
        <v>97</v>
      </c>
      <c r="I45">
        <f t="shared" ca="1" si="5"/>
        <v>284</v>
      </c>
      <c r="J45">
        <v>500</v>
      </c>
      <c r="K45">
        <f t="shared" ca="1" si="6"/>
        <v>0.56799999999999995</v>
      </c>
      <c r="L45" s="2">
        <f t="shared" ca="1" si="7"/>
        <v>0.43200000000000005</v>
      </c>
    </row>
    <row r="46" spans="1:12" x14ac:dyDescent="0.25">
      <c r="A46" t="s">
        <v>55</v>
      </c>
      <c r="B46" t="s">
        <v>119</v>
      </c>
      <c r="C46" t="s">
        <v>127</v>
      </c>
      <c r="D46">
        <f t="shared" ca="1" si="0"/>
        <v>67</v>
      </c>
      <c r="E46">
        <f t="shared" ca="1" si="1"/>
        <v>56</v>
      </c>
      <c r="F46">
        <f t="shared" ca="1" si="2"/>
        <v>39</v>
      </c>
      <c r="G46">
        <f t="shared" ca="1" si="3"/>
        <v>64</v>
      </c>
      <c r="H46">
        <f t="shared" ca="1" si="4"/>
        <v>34</v>
      </c>
      <c r="I46">
        <f t="shared" ca="1" si="5"/>
        <v>260</v>
      </c>
      <c r="J46">
        <v>500</v>
      </c>
      <c r="K46">
        <f t="shared" ca="1" si="6"/>
        <v>0.52</v>
      </c>
      <c r="L46" s="2">
        <f t="shared" ca="1" si="7"/>
        <v>0.48</v>
      </c>
    </row>
    <row r="47" spans="1:12" x14ac:dyDescent="0.25">
      <c r="A47" t="s">
        <v>56</v>
      </c>
      <c r="B47" t="s">
        <v>120</v>
      </c>
      <c r="C47" t="s">
        <v>128</v>
      </c>
      <c r="D47">
        <f t="shared" ca="1" si="0"/>
        <v>42</v>
      </c>
      <c r="E47">
        <f t="shared" ca="1" si="1"/>
        <v>19</v>
      </c>
      <c r="F47">
        <f t="shared" ca="1" si="2"/>
        <v>22</v>
      </c>
      <c r="G47">
        <f t="shared" ca="1" si="3"/>
        <v>22</v>
      </c>
      <c r="H47">
        <f t="shared" ca="1" si="4"/>
        <v>95</v>
      </c>
      <c r="I47">
        <f t="shared" ca="1" si="5"/>
        <v>200</v>
      </c>
      <c r="J47">
        <v>500</v>
      </c>
      <c r="K47">
        <f t="shared" ca="1" si="6"/>
        <v>0.4</v>
      </c>
      <c r="L47" s="2">
        <f t="shared" ca="1" si="7"/>
        <v>0.6</v>
      </c>
    </row>
    <row r="48" spans="1:12" x14ac:dyDescent="0.25">
      <c r="A48" t="s">
        <v>57</v>
      </c>
      <c r="B48" t="s">
        <v>121</v>
      </c>
      <c r="C48" t="s">
        <v>129</v>
      </c>
      <c r="D48">
        <f t="shared" ca="1" si="0"/>
        <v>34</v>
      </c>
      <c r="E48">
        <f t="shared" ca="1" si="1"/>
        <v>64</v>
      </c>
      <c r="F48">
        <f t="shared" ca="1" si="2"/>
        <v>59</v>
      </c>
      <c r="G48">
        <f t="shared" ca="1" si="3"/>
        <v>51</v>
      </c>
      <c r="H48">
        <f t="shared" ca="1" si="4"/>
        <v>90</v>
      </c>
      <c r="I48">
        <f t="shared" ca="1" si="5"/>
        <v>298</v>
      </c>
      <c r="J48">
        <v>500</v>
      </c>
      <c r="K48">
        <f t="shared" ca="1" si="6"/>
        <v>0.59599999999999997</v>
      </c>
      <c r="L48" s="2">
        <f t="shared" ca="1" si="7"/>
        <v>0.40400000000000003</v>
      </c>
    </row>
    <row r="49" spans="1:12" x14ac:dyDescent="0.25">
      <c r="A49" t="s">
        <v>58</v>
      </c>
      <c r="B49" t="s">
        <v>122</v>
      </c>
      <c r="C49" t="s">
        <v>130</v>
      </c>
      <c r="D49">
        <f t="shared" ca="1" si="0"/>
        <v>75</v>
      </c>
      <c r="E49">
        <f t="shared" ca="1" si="1"/>
        <v>14</v>
      </c>
      <c r="F49">
        <f t="shared" ca="1" si="2"/>
        <v>31</v>
      </c>
      <c r="G49">
        <f t="shared" ca="1" si="3"/>
        <v>33</v>
      </c>
      <c r="H49">
        <f t="shared" ca="1" si="4"/>
        <v>80</v>
      </c>
      <c r="I49">
        <f t="shared" ca="1" si="5"/>
        <v>233</v>
      </c>
      <c r="J49">
        <v>500</v>
      </c>
      <c r="K49">
        <f t="shared" ca="1" si="6"/>
        <v>0.46600000000000003</v>
      </c>
      <c r="L49" s="2">
        <f t="shared" ca="1" si="7"/>
        <v>0.53400000000000003</v>
      </c>
    </row>
    <row r="50" spans="1:12" x14ac:dyDescent="0.25">
      <c r="A50" t="s">
        <v>59</v>
      </c>
      <c r="B50" t="s">
        <v>111</v>
      </c>
      <c r="C50" t="s">
        <v>131</v>
      </c>
      <c r="D50">
        <f t="shared" ca="1" si="0"/>
        <v>36</v>
      </c>
      <c r="E50">
        <f t="shared" ca="1" si="1"/>
        <v>35</v>
      </c>
      <c r="F50">
        <f t="shared" ca="1" si="2"/>
        <v>76</v>
      </c>
      <c r="G50">
        <f t="shared" ca="1" si="3"/>
        <v>36</v>
      </c>
      <c r="H50">
        <f t="shared" ca="1" si="4"/>
        <v>39</v>
      </c>
      <c r="I50">
        <f t="shared" ca="1" si="5"/>
        <v>222</v>
      </c>
      <c r="J50">
        <v>500</v>
      </c>
      <c r="K50">
        <f t="shared" ca="1" si="6"/>
        <v>0.44400000000000001</v>
      </c>
      <c r="L50" s="2">
        <f t="shared" ca="1" si="7"/>
        <v>0.55600000000000005</v>
      </c>
    </row>
    <row r="51" spans="1:12" x14ac:dyDescent="0.25">
      <c r="A51" t="s">
        <v>60</v>
      </c>
      <c r="B51" t="s">
        <v>112</v>
      </c>
      <c r="C51" t="s">
        <v>132</v>
      </c>
      <c r="D51">
        <f t="shared" ca="1" si="0"/>
        <v>32</v>
      </c>
      <c r="E51">
        <f t="shared" ca="1" si="1"/>
        <v>29</v>
      </c>
      <c r="F51">
        <f t="shared" ca="1" si="2"/>
        <v>68</v>
      </c>
      <c r="G51">
        <f t="shared" ca="1" si="3"/>
        <v>58</v>
      </c>
      <c r="H51">
        <f t="shared" ca="1" si="4"/>
        <v>39</v>
      </c>
      <c r="I51">
        <f t="shared" ca="1" si="5"/>
        <v>226</v>
      </c>
      <c r="J51">
        <v>500</v>
      </c>
      <c r="K51">
        <f t="shared" ca="1" si="6"/>
        <v>0.45200000000000001</v>
      </c>
      <c r="L51" s="2">
        <f t="shared" ca="1" si="7"/>
        <v>0.54800000000000004</v>
      </c>
    </row>
    <row r="52" spans="1:12" x14ac:dyDescent="0.25">
      <c r="A52" t="s">
        <v>61</v>
      </c>
      <c r="B52" t="s">
        <v>113</v>
      </c>
      <c r="C52" t="s">
        <v>123</v>
      </c>
      <c r="D52">
        <f t="shared" ca="1" si="0"/>
        <v>63</v>
      </c>
      <c r="E52">
        <f t="shared" ca="1" si="1"/>
        <v>31</v>
      </c>
      <c r="F52">
        <f t="shared" ca="1" si="2"/>
        <v>70</v>
      </c>
      <c r="G52">
        <f t="shared" ca="1" si="3"/>
        <v>28</v>
      </c>
      <c r="H52">
        <f t="shared" ca="1" si="4"/>
        <v>78</v>
      </c>
      <c r="I52">
        <f t="shared" ca="1" si="5"/>
        <v>270</v>
      </c>
      <c r="J52">
        <v>500</v>
      </c>
      <c r="K52">
        <f t="shared" ca="1" si="6"/>
        <v>0.54</v>
      </c>
      <c r="L52" s="2">
        <f t="shared" ca="1" si="7"/>
        <v>0.45999999999999996</v>
      </c>
    </row>
    <row r="53" spans="1:12" x14ac:dyDescent="0.25">
      <c r="A53" t="s">
        <v>62</v>
      </c>
      <c r="B53" t="s">
        <v>114</v>
      </c>
      <c r="C53" t="s">
        <v>124</v>
      </c>
      <c r="D53">
        <f t="shared" ca="1" si="0"/>
        <v>23</v>
      </c>
      <c r="E53">
        <f t="shared" ca="1" si="1"/>
        <v>64</v>
      </c>
      <c r="F53">
        <f t="shared" ca="1" si="2"/>
        <v>34</v>
      </c>
      <c r="G53">
        <f t="shared" ca="1" si="3"/>
        <v>35</v>
      </c>
      <c r="H53">
        <f t="shared" ca="1" si="4"/>
        <v>31</v>
      </c>
      <c r="I53">
        <f t="shared" ca="1" si="5"/>
        <v>187</v>
      </c>
      <c r="J53">
        <v>500</v>
      </c>
      <c r="K53">
        <f t="shared" ca="1" si="6"/>
        <v>0.374</v>
      </c>
      <c r="L53" s="2">
        <f t="shared" ca="1" si="7"/>
        <v>0.626</v>
      </c>
    </row>
    <row r="54" spans="1:12" x14ac:dyDescent="0.25">
      <c r="A54" t="s">
        <v>63</v>
      </c>
      <c r="B54" t="s">
        <v>115</v>
      </c>
      <c r="C54" t="s">
        <v>125</v>
      </c>
      <c r="D54">
        <f t="shared" ca="1" si="0"/>
        <v>37</v>
      </c>
      <c r="E54">
        <f t="shared" ca="1" si="1"/>
        <v>19</v>
      </c>
      <c r="F54">
        <f t="shared" ca="1" si="2"/>
        <v>25</v>
      </c>
      <c r="G54">
        <f t="shared" ca="1" si="3"/>
        <v>32</v>
      </c>
      <c r="H54">
        <f t="shared" ca="1" si="4"/>
        <v>80</v>
      </c>
      <c r="I54">
        <f t="shared" ca="1" si="5"/>
        <v>193</v>
      </c>
      <c r="J54">
        <v>500</v>
      </c>
      <c r="K54">
        <f t="shared" ca="1" si="6"/>
        <v>0.38600000000000001</v>
      </c>
      <c r="L54" s="2">
        <f t="shared" ca="1" si="7"/>
        <v>0.61399999999999999</v>
      </c>
    </row>
    <row r="55" spans="1:12" x14ac:dyDescent="0.25">
      <c r="A55" t="s">
        <v>64</v>
      </c>
      <c r="B55" t="s">
        <v>116</v>
      </c>
      <c r="C55" t="s">
        <v>126</v>
      </c>
      <c r="D55">
        <f t="shared" ca="1" si="0"/>
        <v>84</v>
      </c>
      <c r="E55">
        <f t="shared" ca="1" si="1"/>
        <v>61</v>
      </c>
      <c r="F55">
        <f t="shared" ca="1" si="2"/>
        <v>57</v>
      </c>
      <c r="G55">
        <f t="shared" ca="1" si="3"/>
        <v>55</v>
      </c>
      <c r="H55">
        <f t="shared" ca="1" si="4"/>
        <v>43</v>
      </c>
      <c r="I55">
        <f t="shared" ca="1" si="5"/>
        <v>300</v>
      </c>
      <c r="J55">
        <v>500</v>
      </c>
      <c r="K55">
        <f t="shared" ca="1" si="6"/>
        <v>0.6</v>
      </c>
      <c r="L55" s="2">
        <f t="shared" ca="1" si="7"/>
        <v>0.4</v>
      </c>
    </row>
    <row r="56" spans="1:12" x14ac:dyDescent="0.25">
      <c r="A56" t="s">
        <v>65</v>
      </c>
      <c r="B56" t="s">
        <v>117</v>
      </c>
      <c r="C56" t="s">
        <v>127</v>
      </c>
      <c r="D56">
        <f t="shared" ca="1" si="0"/>
        <v>92</v>
      </c>
      <c r="E56">
        <f t="shared" ca="1" si="1"/>
        <v>48</v>
      </c>
      <c r="F56">
        <f t="shared" ca="1" si="2"/>
        <v>73</v>
      </c>
      <c r="G56">
        <f t="shared" ca="1" si="3"/>
        <v>44</v>
      </c>
      <c r="H56">
        <f t="shared" ca="1" si="4"/>
        <v>42</v>
      </c>
      <c r="I56">
        <f t="shared" ca="1" si="5"/>
        <v>299</v>
      </c>
      <c r="J56">
        <v>500</v>
      </c>
      <c r="K56">
        <f t="shared" ca="1" si="6"/>
        <v>0.59799999999999998</v>
      </c>
      <c r="L56" s="2">
        <f t="shared" ca="1" si="7"/>
        <v>0.40200000000000002</v>
      </c>
    </row>
    <row r="57" spans="1:12" x14ac:dyDescent="0.25">
      <c r="A57" t="s">
        <v>66</v>
      </c>
      <c r="B57" t="s">
        <v>118</v>
      </c>
      <c r="C57" t="s">
        <v>128</v>
      </c>
      <c r="D57">
        <f t="shared" ca="1" si="0"/>
        <v>93</v>
      </c>
      <c r="E57">
        <f t="shared" ca="1" si="1"/>
        <v>44</v>
      </c>
      <c r="F57">
        <f t="shared" ca="1" si="2"/>
        <v>42</v>
      </c>
      <c r="G57">
        <f t="shared" ca="1" si="3"/>
        <v>32</v>
      </c>
      <c r="H57">
        <f t="shared" ca="1" si="4"/>
        <v>44</v>
      </c>
      <c r="I57">
        <f t="shared" ca="1" si="5"/>
        <v>255</v>
      </c>
      <c r="J57">
        <v>500</v>
      </c>
      <c r="K57">
        <f t="shared" ca="1" si="6"/>
        <v>0.51</v>
      </c>
      <c r="L57" s="2">
        <f t="shared" ca="1" si="7"/>
        <v>0.49</v>
      </c>
    </row>
    <row r="58" spans="1:12" x14ac:dyDescent="0.25">
      <c r="A58" t="s">
        <v>67</v>
      </c>
      <c r="B58" t="s">
        <v>119</v>
      </c>
      <c r="C58" t="s">
        <v>129</v>
      </c>
      <c r="D58">
        <f t="shared" ca="1" si="0"/>
        <v>43</v>
      </c>
      <c r="E58">
        <f t="shared" ca="1" si="1"/>
        <v>24</v>
      </c>
      <c r="F58">
        <f t="shared" ca="1" si="2"/>
        <v>20</v>
      </c>
      <c r="G58">
        <f t="shared" ca="1" si="3"/>
        <v>63</v>
      </c>
      <c r="H58">
        <f t="shared" ca="1" si="4"/>
        <v>59</v>
      </c>
      <c r="I58">
        <f t="shared" ca="1" si="5"/>
        <v>209</v>
      </c>
      <c r="J58">
        <v>500</v>
      </c>
      <c r="K58">
        <f t="shared" ca="1" si="6"/>
        <v>0.41799999999999998</v>
      </c>
      <c r="L58" s="2">
        <f t="shared" ca="1" si="7"/>
        <v>0.58200000000000007</v>
      </c>
    </row>
    <row r="59" spans="1:12" x14ac:dyDescent="0.25">
      <c r="A59" t="s">
        <v>68</v>
      </c>
      <c r="B59" t="s">
        <v>120</v>
      </c>
      <c r="C59" t="s">
        <v>130</v>
      </c>
      <c r="D59">
        <f t="shared" ca="1" si="0"/>
        <v>45</v>
      </c>
      <c r="E59">
        <f t="shared" ca="1" si="1"/>
        <v>14</v>
      </c>
      <c r="F59">
        <f t="shared" ca="1" si="2"/>
        <v>75</v>
      </c>
      <c r="G59">
        <f t="shared" ca="1" si="3"/>
        <v>59</v>
      </c>
      <c r="H59">
        <f t="shared" ca="1" si="4"/>
        <v>81</v>
      </c>
      <c r="I59">
        <f t="shared" ca="1" si="5"/>
        <v>274</v>
      </c>
      <c r="J59">
        <v>500</v>
      </c>
      <c r="K59">
        <f t="shared" ca="1" si="6"/>
        <v>0.54800000000000004</v>
      </c>
      <c r="L59" s="2">
        <f t="shared" ca="1" si="7"/>
        <v>0.45199999999999996</v>
      </c>
    </row>
    <row r="60" spans="1:12" x14ac:dyDescent="0.25">
      <c r="A60" t="s">
        <v>69</v>
      </c>
      <c r="B60" t="s">
        <v>121</v>
      </c>
      <c r="C60" t="s">
        <v>131</v>
      </c>
      <c r="D60">
        <f t="shared" ca="1" si="0"/>
        <v>69</v>
      </c>
      <c r="E60">
        <f t="shared" ca="1" si="1"/>
        <v>61</v>
      </c>
      <c r="F60">
        <f t="shared" ca="1" si="2"/>
        <v>72</v>
      </c>
      <c r="G60">
        <f t="shared" ca="1" si="3"/>
        <v>51</v>
      </c>
      <c r="H60">
        <f t="shared" ca="1" si="4"/>
        <v>57</v>
      </c>
      <c r="I60">
        <f t="shared" ca="1" si="5"/>
        <v>310</v>
      </c>
      <c r="J60">
        <v>500</v>
      </c>
      <c r="K60">
        <f t="shared" ca="1" si="6"/>
        <v>0.62</v>
      </c>
      <c r="L60" s="2">
        <f t="shared" ca="1" si="7"/>
        <v>0.38</v>
      </c>
    </row>
    <row r="61" spans="1:12" x14ac:dyDescent="0.25">
      <c r="A61" t="s">
        <v>70</v>
      </c>
      <c r="B61" t="s">
        <v>122</v>
      </c>
      <c r="C61" t="s">
        <v>132</v>
      </c>
      <c r="D61">
        <f t="shared" ca="1" si="0"/>
        <v>66</v>
      </c>
      <c r="E61">
        <f t="shared" ca="1" si="1"/>
        <v>58</v>
      </c>
      <c r="F61">
        <f t="shared" ca="1" si="2"/>
        <v>25</v>
      </c>
      <c r="G61">
        <f t="shared" ca="1" si="3"/>
        <v>61</v>
      </c>
      <c r="H61">
        <f t="shared" ca="1" si="4"/>
        <v>77</v>
      </c>
      <c r="I61">
        <f t="shared" ca="1" si="5"/>
        <v>287</v>
      </c>
      <c r="J61">
        <v>500</v>
      </c>
      <c r="K61">
        <f t="shared" ca="1" si="6"/>
        <v>0.57399999999999995</v>
      </c>
      <c r="L61" s="2">
        <f t="shared" ca="1" si="7"/>
        <v>0.42600000000000005</v>
      </c>
    </row>
    <row r="62" spans="1:12" x14ac:dyDescent="0.25">
      <c r="A62" t="s">
        <v>71</v>
      </c>
      <c r="B62" t="s">
        <v>111</v>
      </c>
      <c r="C62" t="s">
        <v>123</v>
      </c>
      <c r="D62">
        <f t="shared" ca="1" si="0"/>
        <v>33</v>
      </c>
      <c r="E62">
        <f t="shared" ca="1" si="1"/>
        <v>31</v>
      </c>
      <c r="F62">
        <f t="shared" ca="1" si="2"/>
        <v>66</v>
      </c>
      <c r="G62">
        <f t="shared" ca="1" si="3"/>
        <v>40</v>
      </c>
      <c r="H62">
        <f t="shared" ca="1" si="4"/>
        <v>79</v>
      </c>
      <c r="I62">
        <f t="shared" ca="1" si="5"/>
        <v>249</v>
      </c>
      <c r="J62">
        <v>500</v>
      </c>
      <c r="K62">
        <f t="shared" ca="1" si="6"/>
        <v>0.498</v>
      </c>
      <c r="L62" s="2">
        <f t="shared" ca="1" si="7"/>
        <v>0.502</v>
      </c>
    </row>
    <row r="63" spans="1:12" x14ac:dyDescent="0.25">
      <c r="A63" t="s">
        <v>72</v>
      </c>
      <c r="B63" t="s">
        <v>112</v>
      </c>
      <c r="C63" t="s">
        <v>124</v>
      </c>
      <c r="D63">
        <f t="shared" ca="1" si="0"/>
        <v>62</v>
      </c>
      <c r="E63">
        <f t="shared" ca="1" si="1"/>
        <v>35</v>
      </c>
      <c r="F63">
        <f t="shared" ca="1" si="2"/>
        <v>26</v>
      </c>
      <c r="G63">
        <f t="shared" ca="1" si="3"/>
        <v>46</v>
      </c>
      <c r="H63">
        <f t="shared" ca="1" si="4"/>
        <v>96</v>
      </c>
      <c r="I63">
        <f t="shared" ca="1" si="5"/>
        <v>265</v>
      </c>
      <c r="J63">
        <v>500</v>
      </c>
      <c r="K63">
        <f t="shared" ca="1" si="6"/>
        <v>0.53</v>
      </c>
      <c r="L63" s="2">
        <f t="shared" ca="1" si="7"/>
        <v>0.47</v>
      </c>
    </row>
    <row r="64" spans="1:12" x14ac:dyDescent="0.25">
      <c r="A64" t="s">
        <v>73</v>
      </c>
      <c r="B64" t="s">
        <v>113</v>
      </c>
      <c r="C64" t="s">
        <v>125</v>
      </c>
      <c r="D64">
        <f t="shared" ca="1" si="0"/>
        <v>81</v>
      </c>
      <c r="E64">
        <f t="shared" ca="1" si="1"/>
        <v>25</v>
      </c>
      <c r="F64">
        <f t="shared" ca="1" si="2"/>
        <v>41</v>
      </c>
      <c r="G64">
        <f t="shared" ca="1" si="3"/>
        <v>33</v>
      </c>
      <c r="H64">
        <f t="shared" ca="1" si="4"/>
        <v>29</v>
      </c>
      <c r="I64">
        <f t="shared" ca="1" si="5"/>
        <v>209</v>
      </c>
      <c r="J64">
        <v>500</v>
      </c>
      <c r="K64">
        <f t="shared" ca="1" si="6"/>
        <v>0.41799999999999998</v>
      </c>
      <c r="L64" s="2">
        <f t="shared" ca="1" si="7"/>
        <v>0.58200000000000007</v>
      </c>
    </row>
    <row r="65" spans="1:12" x14ac:dyDescent="0.25">
      <c r="A65" t="s">
        <v>74</v>
      </c>
      <c r="B65" t="s">
        <v>114</v>
      </c>
      <c r="C65" t="s">
        <v>126</v>
      </c>
      <c r="D65">
        <f t="shared" ca="1" si="0"/>
        <v>31</v>
      </c>
      <c r="E65">
        <f t="shared" ca="1" si="1"/>
        <v>16</v>
      </c>
      <c r="F65">
        <f t="shared" ca="1" si="2"/>
        <v>64</v>
      </c>
      <c r="G65">
        <f t="shared" ca="1" si="3"/>
        <v>56</v>
      </c>
      <c r="H65">
        <f t="shared" ca="1" si="4"/>
        <v>24</v>
      </c>
      <c r="I65">
        <f t="shared" ca="1" si="5"/>
        <v>191</v>
      </c>
      <c r="J65">
        <v>500</v>
      </c>
      <c r="K65">
        <f t="shared" ca="1" si="6"/>
        <v>0.38200000000000001</v>
      </c>
      <c r="L65" s="2">
        <f t="shared" ca="1" si="7"/>
        <v>0.61799999999999999</v>
      </c>
    </row>
    <row r="66" spans="1:12" x14ac:dyDescent="0.25">
      <c r="A66" t="s">
        <v>75</v>
      </c>
      <c r="B66" t="s">
        <v>115</v>
      </c>
      <c r="C66" t="s">
        <v>127</v>
      </c>
      <c r="D66">
        <f t="shared" ca="1" si="0"/>
        <v>73</v>
      </c>
      <c r="E66">
        <f t="shared" ca="1" si="1"/>
        <v>16</v>
      </c>
      <c r="F66">
        <f t="shared" ca="1" si="2"/>
        <v>41</v>
      </c>
      <c r="G66">
        <f t="shared" ca="1" si="3"/>
        <v>49</v>
      </c>
      <c r="H66">
        <f t="shared" ca="1" si="4"/>
        <v>95</v>
      </c>
      <c r="I66">
        <f t="shared" ca="1" si="5"/>
        <v>274</v>
      </c>
      <c r="J66">
        <v>500</v>
      </c>
      <c r="K66">
        <f t="shared" ca="1" si="6"/>
        <v>0.54800000000000004</v>
      </c>
      <c r="L66" s="2">
        <f t="shared" ca="1" si="7"/>
        <v>0.45199999999999996</v>
      </c>
    </row>
    <row r="67" spans="1:12" x14ac:dyDescent="0.25">
      <c r="A67" t="s">
        <v>76</v>
      </c>
      <c r="B67" t="s">
        <v>116</v>
      </c>
      <c r="C67" t="s">
        <v>128</v>
      </c>
      <c r="D67">
        <f t="shared" ref="D67:D101" ca="1" si="8">RANDBETWEEN(22,99)</f>
        <v>40</v>
      </c>
      <c r="E67">
        <f t="shared" ref="E67:E101" ca="1" si="9">RANDBETWEEN(12,66)</f>
        <v>64</v>
      </c>
      <c r="F67">
        <f t="shared" ref="F67:F101" ca="1" si="10">RANDBETWEEN(12,77)</f>
        <v>38</v>
      </c>
      <c r="G67">
        <f t="shared" ref="G67:G101" ca="1" si="11">RANDBETWEEN(22,66)</f>
        <v>36</v>
      </c>
      <c r="H67">
        <f t="shared" ref="H67:H101" ca="1" si="12">RANDBETWEEN(23,99)</f>
        <v>49</v>
      </c>
      <c r="I67">
        <f t="shared" ref="I67:I101" ca="1" si="13">D67+E67+F67+G67+H67</f>
        <v>227</v>
      </c>
      <c r="J67">
        <v>500</v>
      </c>
      <c r="K67">
        <f t="shared" ref="K67:K101" ca="1" si="14">I67/J67</f>
        <v>0.45400000000000001</v>
      </c>
      <c r="L67" s="2">
        <f t="shared" ref="L67:L101" ca="1" si="15">100%-K67</f>
        <v>0.54600000000000004</v>
      </c>
    </row>
    <row r="68" spans="1:12" x14ac:dyDescent="0.25">
      <c r="A68" t="s">
        <v>77</v>
      </c>
      <c r="B68" t="s">
        <v>117</v>
      </c>
      <c r="C68" t="s">
        <v>129</v>
      </c>
      <c r="D68">
        <f t="shared" ca="1" si="8"/>
        <v>90</v>
      </c>
      <c r="E68">
        <f t="shared" ca="1" si="9"/>
        <v>31</v>
      </c>
      <c r="F68">
        <f t="shared" ca="1" si="10"/>
        <v>27</v>
      </c>
      <c r="G68">
        <f t="shared" ca="1" si="11"/>
        <v>31</v>
      </c>
      <c r="H68">
        <f t="shared" ca="1" si="12"/>
        <v>46</v>
      </c>
      <c r="I68">
        <f t="shared" ca="1" si="13"/>
        <v>225</v>
      </c>
      <c r="J68">
        <v>500</v>
      </c>
      <c r="K68">
        <f t="shared" ca="1" si="14"/>
        <v>0.45</v>
      </c>
      <c r="L68" s="2">
        <f t="shared" ca="1" si="15"/>
        <v>0.55000000000000004</v>
      </c>
    </row>
    <row r="69" spans="1:12" x14ac:dyDescent="0.25">
      <c r="A69" t="s">
        <v>78</v>
      </c>
      <c r="B69" t="s">
        <v>118</v>
      </c>
      <c r="C69" t="s">
        <v>130</v>
      </c>
      <c r="D69">
        <f t="shared" ca="1" si="8"/>
        <v>26</v>
      </c>
      <c r="E69">
        <f t="shared" ca="1" si="9"/>
        <v>31</v>
      </c>
      <c r="F69">
        <f t="shared" ca="1" si="10"/>
        <v>28</v>
      </c>
      <c r="G69">
        <f t="shared" ca="1" si="11"/>
        <v>28</v>
      </c>
      <c r="H69">
        <f t="shared" ca="1" si="12"/>
        <v>83</v>
      </c>
      <c r="I69">
        <f t="shared" ca="1" si="13"/>
        <v>196</v>
      </c>
      <c r="J69">
        <v>500</v>
      </c>
      <c r="K69">
        <f t="shared" ca="1" si="14"/>
        <v>0.39200000000000002</v>
      </c>
      <c r="L69" s="2">
        <f t="shared" ca="1" si="15"/>
        <v>0.60799999999999998</v>
      </c>
    </row>
    <row r="70" spans="1:12" x14ac:dyDescent="0.25">
      <c r="A70" t="s">
        <v>79</v>
      </c>
      <c r="B70" t="s">
        <v>119</v>
      </c>
      <c r="C70" t="s">
        <v>131</v>
      </c>
      <c r="D70">
        <f t="shared" ca="1" si="8"/>
        <v>31</v>
      </c>
      <c r="E70">
        <f t="shared" ca="1" si="9"/>
        <v>48</v>
      </c>
      <c r="F70">
        <f t="shared" ca="1" si="10"/>
        <v>65</v>
      </c>
      <c r="G70">
        <f t="shared" ca="1" si="11"/>
        <v>45</v>
      </c>
      <c r="H70">
        <f t="shared" ca="1" si="12"/>
        <v>70</v>
      </c>
      <c r="I70">
        <f t="shared" ca="1" si="13"/>
        <v>259</v>
      </c>
      <c r="J70">
        <v>500</v>
      </c>
      <c r="K70">
        <f t="shared" ca="1" si="14"/>
        <v>0.51800000000000002</v>
      </c>
      <c r="L70" s="2">
        <f t="shared" ca="1" si="15"/>
        <v>0.48199999999999998</v>
      </c>
    </row>
    <row r="71" spans="1:12" x14ac:dyDescent="0.25">
      <c r="A71" t="s">
        <v>80</v>
      </c>
      <c r="B71" t="s">
        <v>120</v>
      </c>
      <c r="C71" t="s">
        <v>132</v>
      </c>
      <c r="D71">
        <f t="shared" ca="1" si="8"/>
        <v>73</v>
      </c>
      <c r="E71">
        <f t="shared" ca="1" si="9"/>
        <v>16</v>
      </c>
      <c r="F71">
        <f t="shared" ca="1" si="10"/>
        <v>41</v>
      </c>
      <c r="G71">
        <f t="shared" ca="1" si="11"/>
        <v>43</v>
      </c>
      <c r="H71">
        <f t="shared" ca="1" si="12"/>
        <v>48</v>
      </c>
      <c r="I71">
        <f t="shared" ca="1" si="13"/>
        <v>221</v>
      </c>
      <c r="J71">
        <v>500</v>
      </c>
      <c r="K71">
        <f t="shared" ca="1" si="14"/>
        <v>0.442</v>
      </c>
      <c r="L71" s="2">
        <f t="shared" ca="1" si="15"/>
        <v>0.55800000000000005</v>
      </c>
    </row>
    <row r="72" spans="1:12" x14ac:dyDescent="0.25">
      <c r="A72" t="s">
        <v>81</v>
      </c>
      <c r="B72" t="s">
        <v>121</v>
      </c>
      <c r="C72" t="s">
        <v>123</v>
      </c>
      <c r="D72">
        <f t="shared" ca="1" si="8"/>
        <v>60</v>
      </c>
      <c r="E72">
        <f t="shared" ca="1" si="9"/>
        <v>25</v>
      </c>
      <c r="F72">
        <f t="shared" ca="1" si="10"/>
        <v>65</v>
      </c>
      <c r="G72">
        <f t="shared" ca="1" si="11"/>
        <v>44</v>
      </c>
      <c r="H72">
        <f t="shared" ca="1" si="12"/>
        <v>60</v>
      </c>
      <c r="I72">
        <f t="shared" ca="1" si="13"/>
        <v>254</v>
      </c>
      <c r="J72">
        <v>500</v>
      </c>
      <c r="K72">
        <f t="shared" ca="1" si="14"/>
        <v>0.50800000000000001</v>
      </c>
      <c r="L72" s="2">
        <f t="shared" ca="1" si="15"/>
        <v>0.49199999999999999</v>
      </c>
    </row>
    <row r="73" spans="1:12" x14ac:dyDescent="0.25">
      <c r="A73" t="s">
        <v>82</v>
      </c>
      <c r="B73" t="s">
        <v>122</v>
      </c>
      <c r="C73" t="s">
        <v>124</v>
      </c>
      <c r="D73">
        <f t="shared" ca="1" si="8"/>
        <v>59</v>
      </c>
      <c r="E73">
        <f t="shared" ca="1" si="9"/>
        <v>63</v>
      </c>
      <c r="F73">
        <f t="shared" ca="1" si="10"/>
        <v>22</v>
      </c>
      <c r="G73">
        <f t="shared" ca="1" si="11"/>
        <v>41</v>
      </c>
      <c r="H73">
        <f t="shared" ca="1" si="12"/>
        <v>58</v>
      </c>
      <c r="I73">
        <f t="shared" ca="1" si="13"/>
        <v>243</v>
      </c>
      <c r="J73">
        <v>500</v>
      </c>
      <c r="K73">
        <f t="shared" ca="1" si="14"/>
        <v>0.48599999999999999</v>
      </c>
      <c r="L73" s="2">
        <f t="shared" ca="1" si="15"/>
        <v>0.51400000000000001</v>
      </c>
    </row>
    <row r="74" spans="1:12" x14ac:dyDescent="0.25">
      <c r="A74" t="s">
        <v>83</v>
      </c>
      <c r="B74" t="s">
        <v>111</v>
      </c>
      <c r="C74" t="s">
        <v>125</v>
      </c>
      <c r="D74">
        <f t="shared" ca="1" si="8"/>
        <v>49</v>
      </c>
      <c r="E74">
        <f t="shared" ca="1" si="9"/>
        <v>13</v>
      </c>
      <c r="F74">
        <f t="shared" ca="1" si="10"/>
        <v>52</v>
      </c>
      <c r="G74">
        <f t="shared" ca="1" si="11"/>
        <v>40</v>
      </c>
      <c r="H74">
        <f t="shared" ca="1" si="12"/>
        <v>36</v>
      </c>
      <c r="I74">
        <f t="shared" ca="1" si="13"/>
        <v>190</v>
      </c>
      <c r="J74">
        <v>500</v>
      </c>
      <c r="K74">
        <f t="shared" ca="1" si="14"/>
        <v>0.38</v>
      </c>
      <c r="L74" s="2">
        <f t="shared" ca="1" si="15"/>
        <v>0.62</v>
      </c>
    </row>
    <row r="75" spans="1:12" x14ac:dyDescent="0.25">
      <c r="A75" t="s">
        <v>84</v>
      </c>
      <c r="B75" t="s">
        <v>112</v>
      </c>
      <c r="C75" t="s">
        <v>126</v>
      </c>
      <c r="D75">
        <f t="shared" ca="1" si="8"/>
        <v>63</v>
      </c>
      <c r="E75">
        <f t="shared" ca="1" si="9"/>
        <v>44</v>
      </c>
      <c r="F75">
        <f t="shared" ca="1" si="10"/>
        <v>19</v>
      </c>
      <c r="G75">
        <f t="shared" ca="1" si="11"/>
        <v>34</v>
      </c>
      <c r="H75">
        <f t="shared" ca="1" si="12"/>
        <v>28</v>
      </c>
      <c r="I75">
        <f t="shared" ca="1" si="13"/>
        <v>188</v>
      </c>
      <c r="J75">
        <v>500</v>
      </c>
      <c r="K75">
        <f t="shared" ca="1" si="14"/>
        <v>0.376</v>
      </c>
      <c r="L75" s="2">
        <f t="shared" ca="1" si="15"/>
        <v>0.624</v>
      </c>
    </row>
    <row r="76" spans="1:12" x14ac:dyDescent="0.25">
      <c r="A76" t="s">
        <v>85</v>
      </c>
      <c r="B76" t="s">
        <v>113</v>
      </c>
      <c r="C76" t="s">
        <v>127</v>
      </c>
      <c r="D76">
        <f t="shared" ca="1" si="8"/>
        <v>94</v>
      </c>
      <c r="E76">
        <f t="shared" ca="1" si="9"/>
        <v>41</v>
      </c>
      <c r="F76">
        <f t="shared" ca="1" si="10"/>
        <v>67</v>
      </c>
      <c r="G76">
        <f t="shared" ca="1" si="11"/>
        <v>37</v>
      </c>
      <c r="H76">
        <f t="shared" ca="1" si="12"/>
        <v>87</v>
      </c>
      <c r="I76">
        <f t="shared" ca="1" si="13"/>
        <v>326</v>
      </c>
      <c r="J76">
        <v>500</v>
      </c>
      <c r="K76">
        <f t="shared" ca="1" si="14"/>
        <v>0.65200000000000002</v>
      </c>
      <c r="L76" s="2">
        <f t="shared" ca="1" si="15"/>
        <v>0.34799999999999998</v>
      </c>
    </row>
    <row r="77" spans="1:12" x14ac:dyDescent="0.25">
      <c r="A77" t="s">
        <v>86</v>
      </c>
      <c r="B77" t="s">
        <v>114</v>
      </c>
      <c r="C77" t="s">
        <v>128</v>
      </c>
      <c r="D77">
        <f t="shared" ca="1" si="8"/>
        <v>76</v>
      </c>
      <c r="E77">
        <f t="shared" ca="1" si="9"/>
        <v>52</v>
      </c>
      <c r="F77">
        <f t="shared" ca="1" si="10"/>
        <v>22</v>
      </c>
      <c r="G77">
        <f t="shared" ca="1" si="11"/>
        <v>31</v>
      </c>
      <c r="H77">
        <f t="shared" ca="1" si="12"/>
        <v>66</v>
      </c>
      <c r="I77">
        <f t="shared" ca="1" si="13"/>
        <v>247</v>
      </c>
      <c r="J77">
        <v>500</v>
      </c>
      <c r="K77">
        <f t="shared" ca="1" si="14"/>
        <v>0.49399999999999999</v>
      </c>
      <c r="L77" s="2">
        <f t="shared" ca="1" si="15"/>
        <v>0.50600000000000001</v>
      </c>
    </row>
    <row r="78" spans="1:12" x14ac:dyDescent="0.25">
      <c r="A78" t="s">
        <v>87</v>
      </c>
      <c r="B78" t="s">
        <v>115</v>
      </c>
      <c r="C78" t="s">
        <v>129</v>
      </c>
      <c r="D78">
        <f t="shared" ca="1" si="8"/>
        <v>61</v>
      </c>
      <c r="E78">
        <f t="shared" ca="1" si="9"/>
        <v>24</v>
      </c>
      <c r="F78">
        <f t="shared" ca="1" si="10"/>
        <v>26</v>
      </c>
      <c r="G78">
        <f t="shared" ca="1" si="11"/>
        <v>45</v>
      </c>
      <c r="H78">
        <f t="shared" ca="1" si="12"/>
        <v>66</v>
      </c>
      <c r="I78">
        <f t="shared" ca="1" si="13"/>
        <v>222</v>
      </c>
      <c r="J78">
        <v>500</v>
      </c>
      <c r="K78">
        <f t="shared" ca="1" si="14"/>
        <v>0.44400000000000001</v>
      </c>
      <c r="L78" s="2">
        <f t="shared" ca="1" si="15"/>
        <v>0.55600000000000005</v>
      </c>
    </row>
    <row r="79" spans="1:12" x14ac:dyDescent="0.25">
      <c r="A79" t="s">
        <v>88</v>
      </c>
      <c r="B79" t="s">
        <v>116</v>
      </c>
      <c r="C79" t="s">
        <v>130</v>
      </c>
      <c r="D79">
        <f t="shared" ca="1" si="8"/>
        <v>58</v>
      </c>
      <c r="E79">
        <f t="shared" ca="1" si="9"/>
        <v>35</v>
      </c>
      <c r="F79">
        <f t="shared" ca="1" si="10"/>
        <v>13</v>
      </c>
      <c r="G79">
        <f t="shared" ca="1" si="11"/>
        <v>34</v>
      </c>
      <c r="H79">
        <f t="shared" ca="1" si="12"/>
        <v>79</v>
      </c>
      <c r="I79">
        <f t="shared" ca="1" si="13"/>
        <v>219</v>
      </c>
      <c r="J79">
        <v>500</v>
      </c>
      <c r="K79">
        <f t="shared" ca="1" si="14"/>
        <v>0.438</v>
      </c>
      <c r="L79" s="2">
        <f t="shared" ca="1" si="15"/>
        <v>0.56200000000000006</v>
      </c>
    </row>
    <row r="80" spans="1:12" x14ac:dyDescent="0.25">
      <c r="A80" t="s">
        <v>89</v>
      </c>
      <c r="B80" t="s">
        <v>117</v>
      </c>
      <c r="C80" t="s">
        <v>131</v>
      </c>
      <c r="D80">
        <f t="shared" ca="1" si="8"/>
        <v>37</v>
      </c>
      <c r="E80">
        <f t="shared" ca="1" si="9"/>
        <v>13</v>
      </c>
      <c r="F80">
        <f t="shared" ca="1" si="10"/>
        <v>42</v>
      </c>
      <c r="G80">
        <f t="shared" ca="1" si="11"/>
        <v>34</v>
      </c>
      <c r="H80">
        <f t="shared" ca="1" si="12"/>
        <v>81</v>
      </c>
      <c r="I80">
        <f t="shared" ca="1" si="13"/>
        <v>207</v>
      </c>
      <c r="J80">
        <v>500</v>
      </c>
      <c r="K80">
        <f t="shared" ca="1" si="14"/>
        <v>0.41399999999999998</v>
      </c>
      <c r="L80" s="2">
        <f t="shared" ca="1" si="15"/>
        <v>0.58600000000000008</v>
      </c>
    </row>
    <row r="81" spans="1:12" x14ac:dyDescent="0.25">
      <c r="A81" t="s">
        <v>90</v>
      </c>
      <c r="B81" t="s">
        <v>118</v>
      </c>
      <c r="C81" t="s">
        <v>132</v>
      </c>
      <c r="D81">
        <f t="shared" ca="1" si="8"/>
        <v>80</v>
      </c>
      <c r="E81">
        <f t="shared" ca="1" si="9"/>
        <v>49</v>
      </c>
      <c r="F81">
        <f t="shared" ca="1" si="10"/>
        <v>65</v>
      </c>
      <c r="G81">
        <f t="shared" ca="1" si="11"/>
        <v>43</v>
      </c>
      <c r="H81">
        <f t="shared" ca="1" si="12"/>
        <v>98</v>
      </c>
      <c r="I81">
        <f t="shared" ca="1" si="13"/>
        <v>335</v>
      </c>
      <c r="J81">
        <v>500</v>
      </c>
      <c r="K81">
        <f t="shared" ca="1" si="14"/>
        <v>0.67</v>
      </c>
      <c r="L81" s="2">
        <f t="shared" ca="1" si="15"/>
        <v>0.32999999999999996</v>
      </c>
    </row>
    <row r="82" spans="1:12" x14ac:dyDescent="0.25">
      <c r="A82" t="s">
        <v>91</v>
      </c>
      <c r="B82" t="s">
        <v>119</v>
      </c>
      <c r="C82" t="s">
        <v>123</v>
      </c>
      <c r="D82">
        <f t="shared" ca="1" si="8"/>
        <v>72</v>
      </c>
      <c r="E82">
        <f t="shared" ca="1" si="9"/>
        <v>35</v>
      </c>
      <c r="F82">
        <f t="shared" ca="1" si="10"/>
        <v>68</v>
      </c>
      <c r="G82">
        <f t="shared" ca="1" si="11"/>
        <v>46</v>
      </c>
      <c r="H82">
        <f t="shared" ca="1" si="12"/>
        <v>27</v>
      </c>
      <c r="I82">
        <f t="shared" ca="1" si="13"/>
        <v>248</v>
      </c>
      <c r="J82">
        <v>500</v>
      </c>
      <c r="K82">
        <f t="shared" ca="1" si="14"/>
        <v>0.496</v>
      </c>
      <c r="L82" s="2">
        <f t="shared" ca="1" si="15"/>
        <v>0.504</v>
      </c>
    </row>
    <row r="83" spans="1:12" x14ac:dyDescent="0.25">
      <c r="A83" t="s">
        <v>92</v>
      </c>
      <c r="B83" t="s">
        <v>120</v>
      </c>
      <c r="C83" t="s">
        <v>124</v>
      </c>
      <c r="D83">
        <f t="shared" ca="1" si="8"/>
        <v>34</v>
      </c>
      <c r="E83">
        <f t="shared" ca="1" si="9"/>
        <v>41</v>
      </c>
      <c r="F83">
        <f t="shared" ca="1" si="10"/>
        <v>44</v>
      </c>
      <c r="G83">
        <f t="shared" ca="1" si="11"/>
        <v>25</v>
      </c>
      <c r="H83">
        <f t="shared" ca="1" si="12"/>
        <v>91</v>
      </c>
      <c r="I83">
        <f t="shared" ca="1" si="13"/>
        <v>235</v>
      </c>
      <c r="J83">
        <v>500</v>
      </c>
      <c r="K83">
        <f t="shared" ca="1" si="14"/>
        <v>0.47</v>
      </c>
      <c r="L83" s="2">
        <f t="shared" ca="1" si="15"/>
        <v>0.53</v>
      </c>
    </row>
    <row r="84" spans="1:12" x14ac:dyDescent="0.25">
      <c r="A84" t="s">
        <v>93</v>
      </c>
      <c r="B84" t="s">
        <v>121</v>
      </c>
      <c r="C84" t="s">
        <v>125</v>
      </c>
      <c r="D84">
        <f t="shared" ca="1" si="8"/>
        <v>84</v>
      </c>
      <c r="E84">
        <f t="shared" ca="1" si="9"/>
        <v>24</v>
      </c>
      <c r="F84">
        <f t="shared" ca="1" si="10"/>
        <v>31</v>
      </c>
      <c r="G84">
        <f t="shared" ca="1" si="11"/>
        <v>64</v>
      </c>
      <c r="H84">
        <f t="shared" ca="1" si="12"/>
        <v>41</v>
      </c>
      <c r="I84">
        <f t="shared" ca="1" si="13"/>
        <v>244</v>
      </c>
      <c r="J84">
        <v>500</v>
      </c>
      <c r="K84">
        <f t="shared" ca="1" si="14"/>
        <v>0.48799999999999999</v>
      </c>
      <c r="L84" s="2">
        <f t="shared" ca="1" si="15"/>
        <v>0.51200000000000001</v>
      </c>
    </row>
    <row r="85" spans="1:12" x14ac:dyDescent="0.25">
      <c r="A85" t="s">
        <v>94</v>
      </c>
      <c r="B85" t="s">
        <v>122</v>
      </c>
      <c r="C85" t="s">
        <v>126</v>
      </c>
      <c r="D85">
        <f t="shared" ca="1" si="8"/>
        <v>87</v>
      </c>
      <c r="E85">
        <f t="shared" ca="1" si="9"/>
        <v>45</v>
      </c>
      <c r="F85">
        <f t="shared" ca="1" si="10"/>
        <v>49</v>
      </c>
      <c r="G85">
        <f t="shared" ca="1" si="11"/>
        <v>23</v>
      </c>
      <c r="H85">
        <f t="shared" ca="1" si="12"/>
        <v>79</v>
      </c>
      <c r="I85">
        <f t="shared" ca="1" si="13"/>
        <v>283</v>
      </c>
      <c r="J85">
        <v>500</v>
      </c>
      <c r="K85">
        <f t="shared" ca="1" si="14"/>
        <v>0.56599999999999995</v>
      </c>
      <c r="L85" s="2">
        <f t="shared" ca="1" si="15"/>
        <v>0.43400000000000005</v>
      </c>
    </row>
    <row r="86" spans="1:12" x14ac:dyDescent="0.25">
      <c r="A86" t="s">
        <v>95</v>
      </c>
      <c r="B86" t="s">
        <v>111</v>
      </c>
      <c r="C86" t="s">
        <v>127</v>
      </c>
      <c r="D86">
        <f t="shared" ca="1" si="8"/>
        <v>93</v>
      </c>
      <c r="E86">
        <f t="shared" ca="1" si="9"/>
        <v>59</v>
      </c>
      <c r="F86">
        <f t="shared" ca="1" si="10"/>
        <v>55</v>
      </c>
      <c r="G86">
        <f t="shared" ca="1" si="11"/>
        <v>65</v>
      </c>
      <c r="H86">
        <f t="shared" ca="1" si="12"/>
        <v>37</v>
      </c>
      <c r="I86">
        <f t="shared" ca="1" si="13"/>
        <v>309</v>
      </c>
      <c r="J86">
        <v>500</v>
      </c>
      <c r="K86">
        <f t="shared" ca="1" si="14"/>
        <v>0.61799999999999999</v>
      </c>
      <c r="L86" s="2">
        <f t="shared" ca="1" si="15"/>
        <v>0.38200000000000001</v>
      </c>
    </row>
    <row r="87" spans="1:12" x14ac:dyDescent="0.25">
      <c r="A87" t="s">
        <v>96</v>
      </c>
      <c r="B87" t="s">
        <v>112</v>
      </c>
      <c r="C87" t="s">
        <v>128</v>
      </c>
      <c r="D87">
        <f t="shared" ca="1" si="8"/>
        <v>97</v>
      </c>
      <c r="E87">
        <f t="shared" ca="1" si="9"/>
        <v>66</v>
      </c>
      <c r="F87">
        <f t="shared" ca="1" si="10"/>
        <v>27</v>
      </c>
      <c r="G87">
        <f t="shared" ca="1" si="11"/>
        <v>45</v>
      </c>
      <c r="H87">
        <f t="shared" ca="1" si="12"/>
        <v>38</v>
      </c>
      <c r="I87">
        <f t="shared" ca="1" si="13"/>
        <v>273</v>
      </c>
      <c r="J87">
        <v>500</v>
      </c>
      <c r="K87">
        <f t="shared" ca="1" si="14"/>
        <v>0.54600000000000004</v>
      </c>
      <c r="L87" s="2">
        <f t="shared" ca="1" si="15"/>
        <v>0.45399999999999996</v>
      </c>
    </row>
    <row r="88" spans="1:12" x14ac:dyDescent="0.25">
      <c r="A88" t="s">
        <v>97</v>
      </c>
      <c r="B88" t="s">
        <v>113</v>
      </c>
      <c r="C88" t="s">
        <v>129</v>
      </c>
      <c r="D88">
        <f t="shared" ca="1" si="8"/>
        <v>75</v>
      </c>
      <c r="E88">
        <f t="shared" ca="1" si="9"/>
        <v>28</v>
      </c>
      <c r="F88">
        <f t="shared" ca="1" si="10"/>
        <v>12</v>
      </c>
      <c r="G88">
        <f t="shared" ca="1" si="11"/>
        <v>54</v>
      </c>
      <c r="H88">
        <f t="shared" ca="1" si="12"/>
        <v>80</v>
      </c>
      <c r="I88">
        <f t="shared" ca="1" si="13"/>
        <v>249</v>
      </c>
      <c r="J88">
        <v>500</v>
      </c>
      <c r="K88">
        <f t="shared" ca="1" si="14"/>
        <v>0.498</v>
      </c>
      <c r="L88" s="2">
        <f t="shared" ca="1" si="15"/>
        <v>0.502</v>
      </c>
    </row>
    <row r="89" spans="1:12" x14ac:dyDescent="0.25">
      <c r="A89" t="s">
        <v>98</v>
      </c>
      <c r="B89" t="s">
        <v>114</v>
      </c>
      <c r="C89" t="s">
        <v>130</v>
      </c>
      <c r="D89">
        <f t="shared" ca="1" si="8"/>
        <v>91</v>
      </c>
      <c r="E89">
        <f t="shared" ca="1" si="9"/>
        <v>65</v>
      </c>
      <c r="F89">
        <f t="shared" ca="1" si="10"/>
        <v>74</v>
      </c>
      <c r="G89">
        <f t="shared" ca="1" si="11"/>
        <v>47</v>
      </c>
      <c r="H89">
        <f t="shared" ca="1" si="12"/>
        <v>74</v>
      </c>
      <c r="I89">
        <f t="shared" ca="1" si="13"/>
        <v>351</v>
      </c>
      <c r="J89">
        <v>500</v>
      </c>
      <c r="K89">
        <f t="shared" ca="1" si="14"/>
        <v>0.70199999999999996</v>
      </c>
      <c r="L89" s="2">
        <f t="shared" ca="1" si="15"/>
        <v>0.29800000000000004</v>
      </c>
    </row>
    <row r="90" spans="1:12" x14ac:dyDescent="0.25">
      <c r="A90" t="s">
        <v>99</v>
      </c>
      <c r="B90" t="s">
        <v>115</v>
      </c>
      <c r="C90" t="s">
        <v>131</v>
      </c>
      <c r="D90">
        <f t="shared" ca="1" si="8"/>
        <v>63</v>
      </c>
      <c r="E90">
        <f t="shared" ca="1" si="9"/>
        <v>28</v>
      </c>
      <c r="F90">
        <f t="shared" ca="1" si="10"/>
        <v>68</v>
      </c>
      <c r="G90">
        <f t="shared" ca="1" si="11"/>
        <v>38</v>
      </c>
      <c r="H90">
        <f t="shared" ca="1" si="12"/>
        <v>23</v>
      </c>
      <c r="I90">
        <f t="shared" ca="1" si="13"/>
        <v>220</v>
      </c>
      <c r="J90">
        <v>500</v>
      </c>
      <c r="K90">
        <f t="shared" ca="1" si="14"/>
        <v>0.44</v>
      </c>
      <c r="L90" s="2">
        <f t="shared" ca="1" si="15"/>
        <v>0.56000000000000005</v>
      </c>
    </row>
    <row r="91" spans="1:12" x14ac:dyDescent="0.25">
      <c r="A91" t="s">
        <v>100</v>
      </c>
      <c r="B91" t="s">
        <v>116</v>
      </c>
      <c r="C91" t="s">
        <v>132</v>
      </c>
      <c r="D91">
        <f t="shared" ca="1" si="8"/>
        <v>79</v>
      </c>
      <c r="E91">
        <f t="shared" ca="1" si="9"/>
        <v>44</v>
      </c>
      <c r="F91">
        <f t="shared" ca="1" si="10"/>
        <v>44</v>
      </c>
      <c r="G91">
        <f t="shared" ca="1" si="11"/>
        <v>30</v>
      </c>
      <c r="H91">
        <f t="shared" ca="1" si="12"/>
        <v>50</v>
      </c>
      <c r="I91">
        <f t="shared" ca="1" si="13"/>
        <v>247</v>
      </c>
      <c r="J91">
        <v>500</v>
      </c>
      <c r="K91">
        <f t="shared" ca="1" si="14"/>
        <v>0.49399999999999999</v>
      </c>
      <c r="L91" s="2">
        <f t="shared" ca="1" si="15"/>
        <v>0.50600000000000001</v>
      </c>
    </row>
    <row r="92" spans="1:12" x14ac:dyDescent="0.25">
      <c r="A92" t="s">
        <v>101</v>
      </c>
      <c r="B92" t="s">
        <v>117</v>
      </c>
      <c r="C92" t="s">
        <v>123</v>
      </c>
      <c r="D92">
        <f t="shared" ca="1" si="8"/>
        <v>53</v>
      </c>
      <c r="E92">
        <f t="shared" ca="1" si="9"/>
        <v>52</v>
      </c>
      <c r="F92">
        <f t="shared" ca="1" si="10"/>
        <v>14</v>
      </c>
      <c r="G92">
        <f t="shared" ca="1" si="11"/>
        <v>61</v>
      </c>
      <c r="H92">
        <f t="shared" ca="1" si="12"/>
        <v>94</v>
      </c>
      <c r="I92">
        <f t="shared" ca="1" si="13"/>
        <v>274</v>
      </c>
      <c r="J92">
        <v>500</v>
      </c>
      <c r="K92">
        <f t="shared" ca="1" si="14"/>
        <v>0.54800000000000004</v>
      </c>
      <c r="L92" s="2">
        <f t="shared" ca="1" si="15"/>
        <v>0.45199999999999996</v>
      </c>
    </row>
    <row r="93" spans="1:12" x14ac:dyDescent="0.25">
      <c r="A93" t="s">
        <v>102</v>
      </c>
      <c r="B93" t="s">
        <v>118</v>
      </c>
      <c r="C93" t="s">
        <v>124</v>
      </c>
      <c r="D93">
        <f t="shared" ca="1" si="8"/>
        <v>67</v>
      </c>
      <c r="E93">
        <f t="shared" ca="1" si="9"/>
        <v>36</v>
      </c>
      <c r="F93">
        <f t="shared" ca="1" si="10"/>
        <v>63</v>
      </c>
      <c r="G93">
        <f t="shared" ca="1" si="11"/>
        <v>64</v>
      </c>
      <c r="H93">
        <f t="shared" ca="1" si="12"/>
        <v>56</v>
      </c>
      <c r="I93">
        <f t="shared" ca="1" si="13"/>
        <v>286</v>
      </c>
      <c r="J93">
        <v>500</v>
      </c>
      <c r="K93">
        <f t="shared" ca="1" si="14"/>
        <v>0.57199999999999995</v>
      </c>
      <c r="L93" s="2">
        <f t="shared" ca="1" si="15"/>
        <v>0.42800000000000005</v>
      </c>
    </row>
    <row r="94" spans="1:12" x14ac:dyDescent="0.25">
      <c r="A94" t="s">
        <v>103</v>
      </c>
      <c r="B94" t="s">
        <v>119</v>
      </c>
      <c r="C94" t="s">
        <v>125</v>
      </c>
      <c r="D94">
        <f t="shared" ca="1" si="8"/>
        <v>23</v>
      </c>
      <c r="E94">
        <f t="shared" ca="1" si="9"/>
        <v>45</v>
      </c>
      <c r="F94">
        <f t="shared" ca="1" si="10"/>
        <v>58</v>
      </c>
      <c r="G94">
        <f t="shared" ca="1" si="11"/>
        <v>61</v>
      </c>
      <c r="H94">
        <f t="shared" ca="1" si="12"/>
        <v>75</v>
      </c>
      <c r="I94">
        <f t="shared" ca="1" si="13"/>
        <v>262</v>
      </c>
      <c r="J94">
        <v>500</v>
      </c>
      <c r="K94">
        <f t="shared" ca="1" si="14"/>
        <v>0.52400000000000002</v>
      </c>
      <c r="L94" s="2">
        <f t="shared" ca="1" si="15"/>
        <v>0.47599999999999998</v>
      </c>
    </row>
    <row r="95" spans="1:12" x14ac:dyDescent="0.25">
      <c r="A95" t="s">
        <v>104</v>
      </c>
      <c r="B95" t="s">
        <v>120</v>
      </c>
      <c r="C95" t="s">
        <v>126</v>
      </c>
      <c r="D95">
        <f t="shared" ca="1" si="8"/>
        <v>47</v>
      </c>
      <c r="E95">
        <f t="shared" ca="1" si="9"/>
        <v>38</v>
      </c>
      <c r="F95">
        <f t="shared" ca="1" si="10"/>
        <v>65</v>
      </c>
      <c r="G95">
        <f t="shared" ca="1" si="11"/>
        <v>62</v>
      </c>
      <c r="H95">
        <f t="shared" ca="1" si="12"/>
        <v>31</v>
      </c>
      <c r="I95">
        <f t="shared" ca="1" si="13"/>
        <v>243</v>
      </c>
      <c r="J95">
        <v>500</v>
      </c>
      <c r="K95">
        <f t="shared" ca="1" si="14"/>
        <v>0.48599999999999999</v>
      </c>
      <c r="L95" s="2">
        <f t="shared" ca="1" si="15"/>
        <v>0.51400000000000001</v>
      </c>
    </row>
    <row r="96" spans="1:12" x14ac:dyDescent="0.25">
      <c r="A96" t="s">
        <v>105</v>
      </c>
      <c r="B96" t="s">
        <v>121</v>
      </c>
      <c r="C96" t="s">
        <v>127</v>
      </c>
      <c r="D96">
        <f t="shared" ca="1" si="8"/>
        <v>99</v>
      </c>
      <c r="E96">
        <f t="shared" ca="1" si="9"/>
        <v>62</v>
      </c>
      <c r="F96">
        <f t="shared" ca="1" si="10"/>
        <v>22</v>
      </c>
      <c r="G96">
        <f t="shared" ca="1" si="11"/>
        <v>27</v>
      </c>
      <c r="H96">
        <f t="shared" ca="1" si="12"/>
        <v>96</v>
      </c>
      <c r="I96">
        <f t="shared" ca="1" si="13"/>
        <v>306</v>
      </c>
      <c r="J96">
        <v>500</v>
      </c>
      <c r="K96">
        <f t="shared" ca="1" si="14"/>
        <v>0.61199999999999999</v>
      </c>
      <c r="L96" s="2">
        <f t="shared" ca="1" si="15"/>
        <v>0.38800000000000001</v>
      </c>
    </row>
    <row r="97" spans="1:12" x14ac:dyDescent="0.25">
      <c r="A97" t="s">
        <v>106</v>
      </c>
      <c r="B97" t="s">
        <v>122</v>
      </c>
      <c r="C97" t="s">
        <v>128</v>
      </c>
      <c r="D97">
        <f t="shared" ca="1" si="8"/>
        <v>59</v>
      </c>
      <c r="E97">
        <f t="shared" ca="1" si="9"/>
        <v>32</v>
      </c>
      <c r="F97">
        <f t="shared" ca="1" si="10"/>
        <v>34</v>
      </c>
      <c r="G97">
        <f t="shared" ca="1" si="11"/>
        <v>61</v>
      </c>
      <c r="H97">
        <f t="shared" ca="1" si="12"/>
        <v>62</v>
      </c>
      <c r="I97">
        <f t="shared" ca="1" si="13"/>
        <v>248</v>
      </c>
      <c r="J97">
        <v>500</v>
      </c>
      <c r="K97">
        <f t="shared" ca="1" si="14"/>
        <v>0.496</v>
      </c>
      <c r="L97" s="2">
        <f t="shared" ca="1" si="15"/>
        <v>0.504</v>
      </c>
    </row>
    <row r="98" spans="1:12" x14ac:dyDescent="0.25">
      <c r="A98" t="s">
        <v>107</v>
      </c>
      <c r="B98" t="s">
        <v>111</v>
      </c>
      <c r="C98" t="s">
        <v>129</v>
      </c>
      <c r="D98">
        <f t="shared" ca="1" si="8"/>
        <v>70</v>
      </c>
      <c r="E98">
        <f t="shared" ca="1" si="9"/>
        <v>65</v>
      </c>
      <c r="F98">
        <f t="shared" ca="1" si="10"/>
        <v>20</v>
      </c>
      <c r="G98">
        <f t="shared" ca="1" si="11"/>
        <v>32</v>
      </c>
      <c r="H98">
        <f t="shared" ca="1" si="12"/>
        <v>30</v>
      </c>
      <c r="I98">
        <f t="shared" ca="1" si="13"/>
        <v>217</v>
      </c>
      <c r="J98">
        <v>500</v>
      </c>
      <c r="K98">
        <f t="shared" ca="1" si="14"/>
        <v>0.434</v>
      </c>
      <c r="L98" s="2">
        <f t="shared" ca="1" si="15"/>
        <v>0.56600000000000006</v>
      </c>
    </row>
    <row r="99" spans="1:12" x14ac:dyDescent="0.25">
      <c r="A99" t="s">
        <v>108</v>
      </c>
      <c r="B99" t="s">
        <v>112</v>
      </c>
      <c r="C99" t="s">
        <v>130</v>
      </c>
      <c r="D99">
        <f t="shared" ca="1" si="8"/>
        <v>23</v>
      </c>
      <c r="E99">
        <f t="shared" ca="1" si="9"/>
        <v>15</v>
      </c>
      <c r="F99">
        <f t="shared" ca="1" si="10"/>
        <v>33</v>
      </c>
      <c r="G99">
        <f t="shared" ca="1" si="11"/>
        <v>37</v>
      </c>
      <c r="H99">
        <f t="shared" ca="1" si="12"/>
        <v>83</v>
      </c>
      <c r="I99">
        <f t="shared" ca="1" si="13"/>
        <v>191</v>
      </c>
      <c r="J99">
        <v>500</v>
      </c>
      <c r="K99">
        <f t="shared" ca="1" si="14"/>
        <v>0.38200000000000001</v>
      </c>
      <c r="L99" s="2">
        <f t="shared" ca="1" si="15"/>
        <v>0.61799999999999999</v>
      </c>
    </row>
    <row r="100" spans="1:12" x14ac:dyDescent="0.25">
      <c r="A100" t="s">
        <v>109</v>
      </c>
      <c r="B100" t="s">
        <v>113</v>
      </c>
      <c r="C100" t="s">
        <v>131</v>
      </c>
      <c r="D100">
        <f t="shared" ca="1" si="8"/>
        <v>95</v>
      </c>
      <c r="E100">
        <f t="shared" ca="1" si="9"/>
        <v>56</v>
      </c>
      <c r="F100">
        <f t="shared" ca="1" si="10"/>
        <v>23</v>
      </c>
      <c r="G100">
        <f t="shared" ca="1" si="11"/>
        <v>62</v>
      </c>
      <c r="H100">
        <f t="shared" ca="1" si="12"/>
        <v>32</v>
      </c>
      <c r="I100">
        <f t="shared" ca="1" si="13"/>
        <v>268</v>
      </c>
      <c r="J100">
        <v>500</v>
      </c>
      <c r="K100">
        <f t="shared" ca="1" si="14"/>
        <v>0.53600000000000003</v>
      </c>
      <c r="L100" s="2">
        <f t="shared" ca="1" si="15"/>
        <v>0.46399999999999997</v>
      </c>
    </row>
    <row r="101" spans="1:12" x14ac:dyDescent="0.25">
      <c r="A101" t="s">
        <v>110</v>
      </c>
      <c r="B101" t="s">
        <v>114</v>
      </c>
      <c r="C101" t="s">
        <v>132</v>
      </c>
      <c r="D101">
        <f t="shared" ca="1" si="8"/>
        <v>33</v>
      </c>
      <c r="E101">
        <f t="shared" ca="1" si="9"/>
        <v>25</v>
      </c>
      <c r="F101">
        <f t="shared" ca="1" si="10"/>
        <v>62</v>
      </c>
      <c r="G101">
        <f t="shared" ca="1" si="11"/>
        <v>29</v>
      </c>
      <c r="H101">
        <f t="shared" ca="1" si="12"/>
        <v>51</v>
      </c>
      <c r="I101">
        <f t="shared" ca="1" si="13"/>
        <v>200</v>
      </c>
      <c r="J101">
        <v>500</v>
      </c>
      <c r="K101">
        <f t="shared" ca="1" si="14"/>
        <v>0.4</v>
      </c>
      <c r="L101" s="2">
        <f t="shared" ca="1" si="15"/>
        <v>0.6</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samiksha hajare</dc:creator>
  <cp:lastModifiedBy>samiksha hajare</cp:lastModifiedBy>
  <dcterms:created xsi:type="dcterms:W3CDTF">2025-07-26T16:05:52Z</dcterms:created>
  <dcterms:modified xsi:type="dcterms:W3CDTF">2025-10-10T14:20:15Z</dcterms:modified>
</cp:coreProperties>
</file>